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01b818d322e74163" /></Relationships>
</file>

<file path=xl/workbook.xml><?xml version="1.0" encoding="utf-8"?>
<x:workbook xmlns:x="http://schemas.openxmlformats.org/spreadsheetml/2006/main">
  <x:sheets>
    <x:sheet xmlns:r="http://schemas.openxmlformats.org/officeDocument/2006/relationships" name="Cognac" sheetId="1" r:id="Rc18affb02cdc4838"/>
    <x:sheet xmlns:r="http://schemas.openxmlformats.org/officeDocument/2006/relationships" name="Verification" sheetId="2" r:id="R8a41ea5bca8a45fa"/>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R #,##0.00"/>
  </x:numFmts>
  <x:fonts count="6">
    <x:font>
      <x:sz val="11"/>
      <x:name val="Carlito"/>
    </x:font>
    <x:font>
      <x:b/>
      <x:sz val="16"/>
      <x:color rgb="FFE9C46A"/>
      <x:name val="Carlito"/>
    </x:font>
    <x:font>
      <x:i/>
      <x:sz val="10"/>
      <x:color rgb="FFFFFFFF"/>
      <x:name val="Carlito"/>
    </x:font>
    <x:font>
      <x:b/>
      <x:sz val="10"/>
      <x:color rgb="FF111111"/>
      <x:name val="Carlito"/>
    </x:font>
    <x:font>
      <x:b/>
      <x:sz val="11"/>
      <x:color rgb="FFE9C46A"/>
      <x:name val="Carlito"/>
    </x:font>
    <x:font>
      <x:sz val="9"/>
      <x:name val="Carlito"/>
    </x:font>
  </x:fonts>
  <x:fills count="5">
    <x:fill>
      <x:patternFill patternType="none"/>
    </x:fill>
    <x:fill>
      <x:patternFill patternType="gray125"/>
    </x:fill>
    <x:fill>
      <x:patternFill patternType="solid">
        <x:fgColor rgb="FF171717"/>
      </x:patternFill>
    </x:fill>
    <x:fill>
      <x:patternFill patternType="solid">
        <x:fgColor rgb="FF262626"/>
      </x:patternFill>
    </x:fill>
    <x:fill>
      <x:patternFill patternType="solid">
        <x:fgColor rgb="FFC9982D"/>
      </x:patternFill>
    </x:fill>
  </x:fills>
  <x:borders count="2">
    <x:border/>
    <x:border/>
  </x:borders>
  <x:cellStyleXfs count="1">
    <x:xf numFmtId="0" fontId="0" fillId="0" borderId="0"/>
  </x:cellStyleXfs>
  <x:cellXfs count="58">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vertical="center" wrapText="1"/>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wrapText="1"/>
    </x:xf>
    <x:xf numFmtId="0" fontId="2" fillId="3" borderId="1" xfId="0" applyNumberFormat="1" applyFont="1" applyFill="1" applyBorder="1" applyAlignment="1">
      <x:alignment vertical="center" wrapText="1"/>
    </x:xf>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wrapText="1"/>
    </x:xf>
    <x:xf numFmtId="0" fontId="3" fillId="4" borderId="0" xfId="0" applyNumberFormat="1" applyFont="1" applyFill="1" applyBorder="1" applyAlignment="1">
      <x:alignment horizontal="center" wrapText="1"/>
    </x:xf>
    <x:xf numFmtId="0" fontId="3" fillId="4" borderId="0" xfId="0" applyNumberFormat="1" applyFont="1" applyFill="1" applyBorder="1" applyAlignment="1">
      <x:alignment horizontal="center" vertical="center" wrapText="1"/>
    </x:xf>
    <x:xf numFmtId="0" fontId="0" fillId="0" borderId="0" xfId="0">
      <x:extLst>
        <x:ext uri="{C7286773-470A-42A8-94C5-96B5CB345126}">
          <xfpb:xfComplement xmlns:xfpb="http://schemas.microsoft.com/office/spreadsheetml/2022/featurepropertybag" i="0"/>
        </x:ext>
      </x:extLst>
    </x:xf>
    <x:xf numFmtId="0" fontId="0" fillId="4" borderId="1" xfId="0" applyNumberFormat="1" applyFont="1" applyFill="1" applyBorder="1"/>
    <x:xf numFmtId="0" fontId="3" fillId="4" borderId="1" xfId="0" applyNumberFormat="1" applyFont="1" applyFill="1" applyBorder="1"/>
    <x:xf numFmtId="0" fontId="3" fillId="4" borderId="1" xfId="0" applyNumberFormat="1" applyFont="1" applyFill="1" applyBorder="1" applyAlignment="1">
      <x:alignment wrapText="1"/>
    </x:xf>
    <x:xf numFmtId="0" fontId="3" fillId="4" borderId="1" xfId="0" applyNumberFormat="1" applyFont="1" applyFill="1" applyBorder="1" applyAlignment="1">
      <x:alignment horizontal="center" wrapText="1"/>
    </x:xf>
    <x:xf numFmtId="0" fontId="3" fillId="4" borderId="1" xfId="0" applyNumberFormat="1" applyFont="1" applyFill="1" applyBorder="1" applyAlignment="1">
      <x:alignment horizontal="center" vertical="center" wrapText="1"/>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4" fillId="2" borderId="0" xfId="0" applyNumberFormat="1" applyFont="1" applyFill="1" applyBorder="1"/>
    <x:xf numFmtId="0" fontId="4" fillId="2" borderId="0" xfId="0" applyNumberFormat="1" applyFont="1" applyFill="1" applyBorder="1" applyAlignment="1">
      <x:alignment wrapText="1"/>
    </x:xf>
    <x:xf numFmtId="0" fontId="4" fillId="2" borderId="0" xfId="0" applyNumberFormat="1" applyFont="1" applyFill="1" applyBorder="1" applyAlignment="1">
      <x:alignment horizontal="center" wrapText="1"/>
    </x:xf>
    <x:xf numFmtId="0" fontId="4" fillId="2" borderId="0" xfId="0" applyNumberFormat="1" applyFont="1" applyFill="1" applyBorder="1" applyAlignment="1">
      <x:alignment horizontal="center" vertical="center" wrapText="1"/>
    </x:xf>
    <x:xf numFmtId="0" fontId="4" fillId="2" borderId="1" xfId="0" applyNumberFormat="1" applyFont="1" applyFill="1" applyBorder="1"/>
    <x:xf numFmtId="0" fontId="4" fillId="2" borderId="1" xfId="0" applyNumberFormat="1" applyFont="1" applyFill="1" applyBorder="1" applyAlignment="1">
      <x:alignment wrapText="1"/>
    </x:xf>
    <x:xf numFmtId="0" fontId="4" fillId="2" borderId="1" xfId="0" applyNumberFormat="1" applyFont="1" applyFill="1" applyBorder="1" applyAlignment="1">
      <x:alignment horizontal="center" wrapText="1"/>
    </x:xf>
    <x:xf numFmtId="0" fontId="4" fillId="2" borderId="1" xfId="0" applyNumberFormat="1" applyFont="1" applyFill="1" applyBorder="1" applyAlignment="1">
      <x:alignment horizontal="center" vertical="center" wrapText="1"/>
    </x:xf>
    <x:xf numFmtId="200" fontId="0" fillId="0" borderId="0" xfId="0" applyNumberFormat="1" applyFont="1" applyFill="1" applyBorder="1"/>
    <x:xf numFmtId="200" fontId="0" fillId="0" borderId="1" xfId="0" applyNumberFormat="1" applyFont="1" applyFill="1" applyBorder="1"/>
    <x:xf numFmtId="0" fontId="5" fillId="0" borderId="0" xfId="0" applyNumberFormat="1" applyFont="1" applyFill="1" applyBorder="1"/>
    <x:xf numFmtId="200" fontId="5" fillId="0" borderId="0" xfId="0" applyNumberFormat="1" applyFont="1" applyFill="1" applyBorder="1"/>
    <x:xf numFmtId="0" fontId="5" fillId="0" borderId="0" xfId="0" applyNumberFormat="1" applyFont="1" applyFill="1" applyBorder="1">
      <x:extLst>
        <x:ext uri="{C7286773-470A-42A8-94C5-96B5CB345126}">
          <xfpb:xfComplement xmlns:xfpb="http://schemas.microsoft.com/office/spreadsheetml/2022/featurepropertybag" i="0"/>
        </x:ext>
      </x:extLst>
    </x:xf>
    <x:xf numFmtId="0" fontId="5" fillId="0" borderId="0" xfId="0" applyNumberFormat="1" applyFont="1" applyFill="1" applyBorder="1" applyAlignment="1">
      <x:alignment wrapText="1"/>
    </x:xf>
    <x:xf numFmtId="200" fontId="5" fillId="0" borderId="0" xfId="0" applyNumberFormat="1" applyFont="1" applyFill="1" applyBorder="1" applyAlignment="1">
      <x:alignment wrapText="1"/>
    </x:xf>
    <x:xf numFmtId="0" fontId="5" fillId="0" borderId="0" xfId="0" applyNumberFormat="1" applyFont="1" applyFill="1" applyBorder="1" applyAlignment="1">
      <x:alignment wrapText="1"/>
      <x:extLst>
        <x:ext uri="{C7286773-470A-42A8-94C5-96B5CB345126}">
          <xfpb:xfComplement xmlns:xfpb="http://schemas.microsoft.com/office/spreadsheetml/2022/featurepropertybag" i="0"/>
        </x:ext>
      </x:extLst>
    </x:xf>
    <x:xf numFmtId="0" fontId="5" fillId="0" borderId="0" xfId="0" applyNumberFormat="1" applyFont="1" applyFill="1" applyBorder="1" applyAlignment="1">
      <x:alignment vertical="top" wrapText="1"/>
    </x:xf>
    <x:xf numFmtId="200" fontId="5" fillId="0" borderId="0" xfId="0" applyNumberFormat="1" applyFont="1" applyFill="1" applyBorder="1" applyAlignment="1">
      <x:alignment vertical="top" wrapText="1"/>
    </x:xf>
    <x:xf numFmtId="0" fontId="5" fillId="0" borderId="0"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5" fillId="0" borderId="1" xfId="0" applyNumberFormat="1" applyFont="1" applyFill="1" applyBorder="1"/>
    <x:xf numFmtId="200" fontId="5" fillId="0" borderId="1" xfId="0" applyNumberFormat="1" applyFont="1" applyFill="1" applyBorder="1"/>
    <x:xf numFmtId="0" fontId="5" fillId="0" borderId="1" xfId="0" applyNumberFormat="1" applyFont="1" applyFill="1" applyBorder="1">
      <x:extLst>
        <x:ext uri="{C7286773-470A-42A8-94C5-96B5CB345126}">
          <xfpb:xfComplement xmlns:xfpb="http://schemas.microsoft.com/office/spreadsheetml/2022/featurepropertybag" i="0"/>
        </x:ext>
      </x:extLst>
    </x:xf>
    <x:xf numFmtId="0" fontId="5" fillId="0" borderId="1" xfId="0" applyNumberFormat="1" applyFont="1" applyFill="1" applyBorder="1" applyAlignment="1">
      <x:alignment wrapText="1"/>
    </x:xf>
    <x:xf numFmtId="200" fontId="5" fillId="0" borderId="1" xfId="0" applyNumberFormat="1" applyFont="1" applyFill="1" applyBorder="1" applyAlignment="1">
      <x:alignment wrapText="1"/>
    </x:xf>
    <x:xf numFmtId="0" fontId="5" fillId="0" borderId="1" xfId="0" applyNumberFormat="1" applyFont="1" applyFill="1" applyBorder="1" applyAlignment="1">
      <x:alignment wrapText="1"/>
      <x:extLst>
        <x:ext uri="{C7286773-470A-42A8-94C5-96B5CB345126}">
          <xfpb:xfComplement xmlns:xfpb="http://schemas.microsoft.com/office/spreadsheetml/2022/featurepropertybag" i="0"/>
        </x:ext>
      </x:extLst>
    </x:xf>
    <x:xf numFmtId="0" fontId="5" fillId="0" borderId="1" xfId="0" applyNumberFormat="1" applyFont="1" applyFill="1" applyBorder="1" applyAlignment="1">
      <x:alignment vertical="top" wrapText="1"/>
    </x:xf>
    <x:xf numFmtId="200" fontId="5" fillId="0" borderId="1" xfId="0" applyNumberFormat="1" applyFont="1" applyFill="1" applyBorder="1" applyAlignment="1">
      <x:alignment vertical="top" wrapText="1"/>
    </x:xf>
    <x:xf numFmtId="0" fontId="5"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wrapText="1"/>
    </x:xf>
    <x:xf numFmtId="200" fontId="0" fillId="0" borderId="0" xfId="0" applyNumberFormat="1" applyFont="1" applyFill="1" applyBorder="1" applyAlignment="1">
      <x:alignment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72c880452e524eb6" /><Relationship Type="http://schemas.openxmlformats.org/officeDocument/2006/relationships/theme" Target="/xl/theme/theme1.xml" Id="R87bf332b01664e2d" /><Relationship Type="http://schemas.microsoft.com/office/2022/11/relationships/FeaturePropertyBag" Target="/xl/featurePropertyBag/featurePropertyBag.xml" Id="Rd3b3ed2436f64eb6" /><Relationship Type="http://schemas.openxmlformats.org/officeDocument/2006/relationships/sharedStrings" Target="/xl/sharedStrings.xml" Id="R999b9e01168f4d65" /><Relationship Type="http://schemas.openxmlformats.org/officeDocument/2006/relationships/worksheet" Target="/xl/worksheets/sheet1.xml" Id="Rc18affb02cdc4838" /><Relationship Type="http://schemas.openxmlformats.org/officeDocument/2006/relationships/worksheet" Target="/xl/worksheets/sheet2.xml" Id="R8a41ea5bca8a45fa"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CognacCorrectedImportTable" displayName="CognacCorrectedImportTable" ref="A4:S26" headerRowCount="1" totalsRowCount="0" totalsRowShown="0">
  <x:tableColumns count="19">
    <x:tableColumn id="1" name="Category"/>
    <x:tableColumn id="2" name="Country"/>
    <x:tableColumn id="3" name="Subcategory"/>
    <x:tableColumn id="4" name="Brand"/>
    <x:tableColumn id="5" name="Product Name"/>
    <x:tableColumn id="6" name="Detailed Description"/>
    <x:tableColumn id="7" name="Price"/>
    <x:tableColumn id="8" name="Tags"/>
    <x:tableColumn id="9" name="Tasting Notes"/>
    <x:tableColumn id="10" name="Flavor Profile"/>
    <x:tableColumn id="11" name="Food Pairing"/>
    <x:tableColumn id="12" name="International Export"/>
    <x:tableColumn id="13" name="Image URL 1"/>
    <x:tableColumn id="14" name="Image URL 2"/>
    <x:tableColumn id="15" name="Image URL 3"/>
    <x:tableColumn id="16" name="Image URL 4"/>
    <x:tableColumn id="17" name="Image URL 5"/>
    <x:tableColumn id="18" name="Bottle Size"/>
    <x:tableColumn id="19" name="NGF Source"/>
  </x:tableColumns>
  <x:tableStyleInfo name="TableStyleMedium2" showFirstColumn="0" showLastColumn="0" showRowStripes="1" showColumnStripes="0"/>
</x:table>
</file>

<file path=xl/tables/table2.xml><?xml version="1.0" encoding="utf-8"?>
<x:table xmlns:x="http://schemas.openxmlformats.org/spreadsheetml/2006/main" id="2" name="CognacVerificationTable" displayName="CognacVerificationTable" ref="A1:F23" headerRowCount="1" totalsRowCount="0" totalsRowShown="0">
  <x:tableColumns count="6">
    <x:tableColumn id="1" name="Product Name"/>
    <x:tableColumn id="2" name="Brand"/>
    <x:tableColumn id="3" name="Verified NGF Classification"/>
    <x:tableColumn id="4" name="Current NGF Supplier Price"/>
    <x:tableColumn id="5" name="Source URL"/>
    <x:tableColumn id="6" name="Decision"/>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b824743b74b54982" /></Relationships>
</file>

<file path=xl/worksheets/_rels/sheet2.xml.rels>&#65279;<?xml version="1.0" encoding="utf-8"?><Relationships xmlns="http://schemas.openxmlformats.org/package/2006/relationships"><Relationship Type="http://schemas.openxmlformats.org/officeDocument/2006/relationships/table" Target="/xl/tables/table2.xml" Id="Rb6d70cba7a704aeb" /></Relationships>
</file>

<file path=xl/worksheets/sheet1.xml><?xml version="1.0" encoding="utf-8"?>
<x:worksheet xmlns:x="http://schemas.openxmlformats.org/spreadsheetml/2006/main">
  <x:sheetFormatPr defaultRowHeight="15"/>
  <x:cols>
    <x:col min="1" max="1" width="14" hidden="0" customWidth="1"/>
    <x:col min="2" max="2" width="22" hidden="0" customWidth="1"/>
    <x:col min="3" max="3" width="16" hidden="0" customWidth="1"/>
    <x:col min="4" max="4" width="22" hidden="0" customWidth="1"/>
    <x:col min="5" max="5" width="48" hidden="0" customWidth="1"/>
    <x:col min="6" max="6" width="64" hidden="0" customWidth="1"/>
    <x:col min="7" max="7" width="16" hidden="0" customWidth="1"/>
    <x:col min="8" max="8" width="40" hidden="0" customWidth="1"/>
    <x:col min="9" max="9" width="38" hidden="0" customWidth="1"/>
    <x:col min="10" max="10" width="30" hidden="0" customWidth="1"/>
    <x:col min="11" max="11" width="26" hidden="0" customWidth="1"/>
    <x:col min="12" max="12" width="20" hidden="0" customWidth="1"/>
    <x:col min="13" max="13" width="48" hidden="0" customWidth="1"/>
    <x:col min="14" max="14" width="48" hidden="0" customWidth="1"/>
    <x:col min="15" max="15" width="42" hidden="0" customWidth="1"/>
    <x:col min="16" max="16" width="42" hidden="0" customWidth="1"/>
    <x:col min="17" max="17" width="42" hidden="0" customWidth="1"/>
    <x:col min="18" max="18" width="14" hidden="0" customWidth="1"/>
    <x:col min="19" max="19" width="58" hidden="0" customWidth="1"/>
  </x:cols>
  <x:sheetData>
    <x:row r="1" ht="30" customHeight="1">
      <x:c r="A1" s="4" t="str">
        <x:v>Grand Store – Cognac Corrected NGF Import</x:v>
      </x:c>
      <x:c r="B1" s="4"/>
      <x:c r="C1" s="4"/>
      <x:c r="D1" s="4"/>
      <x:c r="E1" s="4"/>
      <x:c r="F1" s="4"/>
      <x:c r="G1" s="4"/>
      <x:c r="H1" s="4"/>
      <x:c r="I1" s="4"/>
      <x:c r="J1" s="4"/>
      <x:c r="K1" s="4"/>
      <x:c r="L1" s="4"/>
      <x:c r="M1" s="4"/>
      <x:c r="N1" s="4"/>
      <x:c r="O1" s="4"/>
      <x:c r="P1" s="4"/>
      <x:c r="Q1" s="4"/>
      <x:c r="R1" s="4"/>
      <x:c r="S1" s="4"/>
    </x:row>
    <x:row r="2" ht="58" customHeight="1">
      <x:c r="A2" s="11" t="str">
        <x:v>Corrected against current NGF Cognac listings. Only current displayed supplier prices strictly above R1,000 are included. NGF Cognac child taxonomy is VS / VSOP / XO; products listed only as COGNAC keep Subcategory blank. Brandy and liqueur products appearing inside NGF's Cognac section are excluded from this Grand Store Cognac file.</x:v>
      </x:c>
      <x:c r="B2" s="11"/>
      <x:c r="C2" s="11"/>
      <x:c r="D2" s="11"/>
      <x:c r="E2" s="11"/>
      <x:c r="F2" s="11"/>
      <x:c r="G2" s="11"/>
      <x:c r="H2" s="11"/>
      <x:c r="I2" s="11"/>
      <x:c r="J2" s="11"/>
      <x:c r="K2" s="11"/>
      <x:c r="L2" s="11"/>
      <x:c r="M2" s="11"/>
      <x:c r="N2" s="11"/>
      <x:c r="O2" s="11"/>
      <x:c r="P2" s="11"/>
      <x:c r="Q2" s="11"/>
      <x:c r="R2" s="11"/>
      <x:c r="S2" s="11"/>
    </x:row>
    <x:row r="4" ht="34" customHeight="1">
      <x:c r="A4" s="20" t="str">
        <x:v>Category</x:v>
      </x:c>
      <x:c r="B4" s="20" t="str">
        <x:v>Country</x:v>
      </x:c>
      <x:c r="C4" s="20" t="str">
        <x:v>Subcategory</x:v>
      </x:c>
      <x:c r="D4" s="20" t="str">
        <x:v>Brand</x:v>
      </x:c>
      <x:c r="E4" s="20" t="str">
        <x:v>Product Name</x:v>
      </x:c>
      <x:c r="F4" s="20" t="str">
        <x:v>Detailed Description</x:v>
      </x:c>
      <x:c r="G4" s="20" t="str">
        <x:v>Price</x:v>
      </x:c>
      <x:c r="H4" s="20" t="str">
        <x:v>Tags</x:v>
      </x:c>
      <x:c r="I4" s="20" t="str">
        <x:v>Tasting Notes</x:v>
      </x:c>
      <x:c r="J4" s="20" t="str">
        <x:v>Flavor Profile</x:v>
      </x:c>
      <x:c r="K4" s="20" t="str">
        <x:v>Food Pairing</x:v>
      </x:c>
      <x:c r="L4" s="20" t="str">
        <x:v>International Export</x:v>
      </x:c>
      <x:c r="M4" s="20" t="str">
        <x:v>Image URL 1</x:v>
      </x:c>
      <x:c r="N4" s="20" t="str">
        <x:v>Image URL 2</x:v>
      </x:c>
      <x:c r="O4" s="20" t="str">
        <x:v>Image URL 3</x:v>
      </x:c>
      <x:c r="P4" s="20" t="str">
        <x:v>Image URL 4</x:v>
      </x:c>
      <x:c r="Q4" s="20" t="str">
        <x:v>Image URL 5</x:v>
      </x:c>
      <x:c r="R4" s="20" t="str">
        <x:v>Bottle Size</x:v>
      </x:c>
      <x:c r="S4" s="20" t="str">
        <x:v>NGF Source</x:v>
      </x:c>
    </x:row>
    <x:row r="5" ht="132" customHeight="1">
      <x:c r="A5" s="44" t="str">
        <x:v>Cognac</x:v>
      </x:c>
      <x:c r="B5" s="44" t="str">
        <x:v>France Cognac</x:v>
      </x:c>
      <x:c r="C5" s="44" t="str">
        <x:v>VSOP</x:v>
      </x:c>
      <x:c r="D5" s="44" t="str">
        <x:v>Bisquit</x:v>
      </x:c>
      <x:c r="E5" s="44" t="str">
        <x:v>Bisquit &amp; Dubouche VSOP 750ml</x:v>
      </x:c>
      <x:c r="F5" s="44" t="str">
        <x:v>Bisquit &amp; Dubouche VSOP 750ml is a premium vsop cognac from Bisquit &amp; Dubouche, presented in a 750ml format.
It reflects the polished fruit, spice and oak character associated with premium Cognac from France.
The aromatic profile opens with apricot, pear, vanilla, creating a rich and inviting first impression.
On the palate, oak, warm spice, dried fruit add further depth while the texture remains rounded and controlled.
The style balances vibrant fruit with mature oak influence, giving it enough depth for sipping while remaining approachable.
The finish is smooth and warming, carrying fruit, vanilla and spice with a composed oak-driven close.
The bottle is well suited to premium gifting, refined entertaining and an elevated after-dinner serve.
Serve neat in a tulip-shaped or Cognac glass, or over a single large cube when a slightly softer expression is preferred.
It pairs particularly well with dessert, cheese, poultry, depending on the style of service and occasion.
A strong premium choice for gifting, after-dinner enjoyment, luxury entertaining and customers looking for a distinguished aged spirit.</x:v>
      </x:c>
      <x:c r="G5" s="45" t="n">
        <x:f>Verification!D2*1.15</x:f>
        <x:v>1183.35</x:v>
      </x:c>
      <x:c r="H5" s="44" t="str">
        <x:v>Bisquit, Cognac, VSOP, France, 750ml, Premium</x:v>
      </x:c>
      <x:c r="I5" s="44" t="str">
        <x:v>Apricot, Pear, Vanilla, Oak, Warm Spice, Dried Fruit</x:v>
      </x:c>
      <x:c r="J5" s="44" t="str">
        <x:v>Fruity &amp; Spicy, Soft</x:v>
      </x:c>
      <x:c r="K5" s="44" t="str">
        <x:v>Dessert, Cheese, Poultry</x:v>
      </x:c>
      <x:c r="L5" s="46" t="b">
        <x:v>0</x:v>
      </x:c>
      <x:c r="M5" s="44" t="str">
        <x:v>https://flaviar.com/cdn/shop/files/assets_2FCatalog_2FBottles_2FBisquit_20Dubouche_2FBrandy_2FBisquit_20Dubouche_20_27Bisquit_27_20V.S.O.P._20Cognac_2FBisquit-Dubouche-_27Bisquit_27-VSOP-Cognac_2C-France.png?v=1758091688</x:v>
      </x:c>
      <x:c r="N5" s="44" t="str"/>
      <x:c r="O5" s="44" t="str"/>
      <x:c r="P5" s="44" t="str"/>
      <x:c r="Q5" s="44" t="str"/>
      <x:c r="R5" s="44" t="str">
        <x:v>750ml</x:v>
      </x:c>
      <x:c r="S5" s="44" t="str">
        <x:v>https://www.ngf.co.za/product-category/cognac/vsop/</x:v>
      </x:c>
    </x:row>
    <x:row r="6" ht="132" customHeight="1">
      <x:c r="A6" s="44" t="str">
        <x:v>Cognac</x:v>
      </x:c>
      <x:c r="B6" s="44" t="str">
        <x:v>France Cognac</x:v>
      </x:c>
      <x:c r="C6" s="44" t="str">
        <x:v>VSOP</x:v>
      </x:c>
      <x:c r="D6" s="44" t="str">
        <x:v>Bisquit</x:v>
      </x:c>
      <x:c r="E6" s="44" t="str">
        <x:v>Bisquit &amp; Dubouche VSOP Exclusive Gift Box &amp; Two Glasses 750ml</x:v>
      </x:c>
      <x:c r="F6" s="44" t="str">
        <x:v>Bisquit &amp; Dubouche VSOP Exclusive Gift Box &amp; Two Glasses 750ml is a premium vsop cognac from Bisquit &amp; Dubouche, presented in a 750ml format.
It reflects the polished fruit, spice and oak character associated with premium Cognac from France.
The aromatic profile opens with apricot, pear, vanilla, creating a rich and inviting first impression.
On the palate, oak, warm spice, dried fruit add further depth while the texture remains rounded and controlled.
The style balances vibrant fruit with mature oak influence, giving it enough depth for sipping while remaining approachable.
The finish is smooth and warming, carrying fruit, vanilla and spice with a composed oak-driven close.
The presentation format also makes it especially suitable for premium gifting, celebrations and collector-focused retail.
Serve neat in a tulip-shaped or Cognac glass, or over a single large cube when a slightly softer expression is preferred.
It pairs particularly well with dessert, cheese, poultry, depending on the style of service and occasion.
A strong premium choice for gifting, after-dinner enjoyment, luxury entertaining and customers looking for a distinguished aged spirit.</x:v>
      </x:c>
      <x:c r="G6" s="45" t="n">
        <x:f>Verification!D3*1.15</x:f>
        <x:v>1183.35</x:v>
      </x:c>
      <x:c r="H6" s="44" t="str">
        <x:v>Bisquit, Cognac, VSOP, France, 750ml, Premium</x:v>
      </x:c>
      <x:c r="I6" s="44" t="str">
        <x:v>Apricot, Pear, Vanilla, Oak, Warm Spice, Dried Fruit</x:v>
      </x:c>
      <x:c r="J6" s="44" t="str">
        <x:v>Fruity &amp; Spicy, Soft</x:v>
      </x:c>
      <x:c r="K6" s="44" t="str">
        <x:v>Dessert, Cheese, Poultry</x:v>
      </x:c>
      <x:c r="L6" s="46" t="b">
        <x:v>0</x:v>
      </x:c>
      <x:c r="M6" s="44" t="str">
        <x:v>https://www.whiskyshop.com/media/catalog/product/A/5/A54033Front01_1.jpg?image-type=image&amp;store=auctions&amp;width=2500</x:v>
      </x:c>
      <x:c r="N6" s="44" t="str"/>
      <x:c r="O6" s="44" t="str"/>
      <x:c r="P6" s="44" t="str"/>
      <x:c r="Q6" s="44" t="str"/>
      <x:c r="R6" s="44" t="str">
        <x:v>750ml</x:v>
      </x:c>
      <x:c r="S6" s="44" t="str">
        <x:v>https://www.ngf.co.za/product-category/cognac/vsop/</x:v>
      </x:c>
    </x:row>
    <x:row r="7" ht="132" customHeight="1">
      <x:c r="A7" s="44" t="str">
        <x:v>Cognac</x:v>
      </x:c>
      <x:c r="B7" s="44" t="str">
        <x:v>France Cognac</x:v>
      </x:c>
      <x:c r="C7" s="44" t="str">
        <x:v>VSOP</x:v>
      </x:c>
      <x:c r="D7" s="44" t="str">
        <x:v>Henri</x:v>
      </x:c>
      <x:c r="E7" s="44" t="str">
        <x:v>Henri VSOP 750ml</x:v>
      </x:c>
      <x:c r="F7" s="44" t="str">
        <x:v>Henri VSOP 750ml is a premium vsop cognac from Henri, presented in a 750ml format.
It reflects the polished fruit, spice and oak character associated with premium Cognac from France.
The aromatic profile opens with ripe fruit, vanilla, oak, creating a rich and inviting first impression.
On the palate, warm spice, dried apricot, caramel add further depth while the texture remains rounded and controlled.
The style balances vibrant fruit with mature oak influence, giving it enough depth for sipping while remaining approachable.
The finish is smooth and warming, carrying fruit, vanilla and spice with a composed oak-driven close.
The bottle is well suited to premium gifting, refined entertaining and an elevated after-dinner serve.
Serve neat in a tulip-shaped or Cognac glass, or over a single large cube when a slightly softer expression is preferred.
It pairs particularly well with dessert, cheese, poultry, depending on the style of service and occasion.
A strong premium choice for gifting, after-dinner enjoyment, luxury entertaining and customers looking for a distinguished aged spirit.</x:v>
      </x:c>
      <x:c r="G7" s="45" t="n">
        <x:f>Verification!D4*1.15</x:f>
        <x:v>1178.75</x:v>
      </x:c>
      <x:c r="H7" s="44" t="str">
        <x:v>Henri, Cognac, VSOP, France, 750ml, Premium</x:v>
      </x:c>
      <x:c r="I7" s="44" t="str">
        <x:v>Ripe Fruit, Vanilla, Oak, Warm Spice, Dried Apricot, Caramel</x:v>
      </x:c>
      <x:c r="J7" s="44" t="str">
        <x:v>Fruity &amp; Spicy, Soft</x:v>
      </x:c>
      <x:c r="K7" s="44" t="str">
        <x:v>Dessert, Cheese, Poultry</x:v>
      </x:c>
      <x:c r="L7" s="46" t="b">
        <x:v>0</x:v>
      </x:c>
      <x:c r="M7" s="44" t="str">
        <x:v>https://henricognac.co.za/wp-content/uploads/2022/02/Henri_VSOP_Cognac_750ml_studio_product.png</x:v>
      </x:c>
      <x:c r="N7" s="44" t="str"/>
      <x:c r="O7" s="44" t="str"/>
      <x:c r="P7" s="44" t="str"/>
      <x:c r="Q7" s="44" t="str"/>
      <x:c r="R7" s="44" t="str">
        <x:v>750ml</x:v>
      </x:c>
      <x:c r="S7" s="44" t="str">
        <x:v>https://www.ngf.co.za/product-category/cognac/vsop/</x:v>
      </x:c>
    </x:row>
    <x:row r="8" ht="132" customHeight="1">
      <x:c r="A8" s="44" t="str">
        <x:v>Cognac</x:v>
      </x:c>
      <x:c r="B8" s="44" t="str">
        <x:v>France Cognac</x:v>
      </x:c>
      <x:c r="C8" s="44" t="str">
        <x:v>VSOP</x:v>
      </x:c>
      <x:c r="D8" s="44" t="str">
        <x:v>Honor</x:v>
      </x:c>
      <x:c r="E8" s="44" t="str">
        <x:v>Honor VSOP Cognac 750ml</x:v>
      </x:c>
      <x:c r="F8" s="44" t="str">
        <x:v>Honor VSOP Cognac 750ml is a premium vsop cognac from Honor, presented in a 750ml format.
It reflects the polished fruit, spice and oak character associated with premium Cognac from France.
The aromatic profile opens with vanilla, warm spice, tobacco, creating a rich and inviting first impression.
On the palate, citrus, oak, dried fruit add further depth while the texture remains rounded and controlled.
The style balances vibrant fruit with mature oak influence, giving it enough depth for sipping while remaining approachable.
The finish is smooth and warming, carrying fruit, vanilla and spice with a composed oak-driven close.
The bottle is well suited to premium gifting, refined entertaining and an elevated after-dinner serve.
Serve neat in a tulip-shaped or Cognac glass, or over a single large cube when a slightly softer expression is preferred.
It pairs particularly well with dessert, cheese, poultry, depending on the style of service and occasion.
A strong premium choice for gifting, after-dinner enjoyment, luxury entertaining and customers looking for a distinguished aged spirit.</x:v>
      </x:c>
      <x:c r="G8" s="45" t="n">
        <x:f>Verification!D5*1.15</x:f>
        <x:v>1263.85</x:v>
      </x:c>
      <x:c r="H8" s="44" t="str">
        <x:v>Honor, Cognac, VSOP, France, 750ml, Premium</x:v>
      </x:c>
      <x:c r="I8" s="44" t="str">
        <x:v>Vanilla, Warm Spice, Tobacco, Citrus, Oak, Dried Fruit</x:v>
      </x:c>
      <x:c r="J8" s="44" t="str">
        <x:v>Fruity &amp; Spicy, Soft</x:v>
      </x:c>
      <x:c r="K8" s="44" t="str">
        <x:v>Dessert, Cheese, Poultry</x:v>
      </x:c>
      <x:c r="L8" s="46" t="b">
        <x:v>0</x:v>
      </x:c>
      <x:c r="M8" s="44" t="str">
        <x:v>https://www.woolworths.co.za/images/elasticera/products/hero/2023-02-15/700083580559_hero.jpg</x:v>
      </x:c>
      <x:c r="N8" s="44" t="str"/>
      <x:c r="O8" s="44" t="str"/>
      <x:c r="P8" s="44" t="str"/>
      <x:c r="Q8" s="44" t="str"/>
      <x:c r="R8" s="44" t="str">
        <x:v>750ml</x:v>
      </x:c>
      <x:c r="S8" s="44" t="str">
        <x:v>https://www.ngf.co.za/brands/honor/</x:v>
      </x:c>
    </x:row>
    <x:row r="9" ht="132" customHeight="1">
      <x:c r="A9" s="44" t="str">
        <x:v>Cognac</x:v>
      </x:c>
      <x:c r="B9" s="44" t="str">
        <x:v>France Cognac</x:v>
      </x:c>
      <x:c r="C9" s="44" t="str">
        <x:v>VSOP</x:v>
      </x:c>
      <x:c r="D9" s="44" t="str">
        <x:v>Honor</x:v>
      </x:c>
      <x:c r="E9" s="44" t="str">
        <x:v>Honor VSOP Gold Limited Edition 750ml</x:v>
      </x:c>
      <x:c r="F9" s="44" t="str">
        <x:v>Honor VSOP Gold Limited Edition 750ml is a premium vsop cognac from Honor, presented in a 750ml format.
It reflects the polished fruit, spice and oak character associated with premium Cognac from France.
The aromatic profile opens with honey, orange blossom, floral notes, creating a rich and inviting first impression.
On the palate, oak, vanilla, warm spice add further depth while the texture remains rounded and controlled.
The style balances vibrant fruit with mature oak influence, giving it enough depth for sipping while remaining approachable.
The finish is smooth and warming, carrying fruit, vanilla and spice with a composed oak-driven close.
Its limited-edition presentation adds extra visual appeal for collectors, gifting and special-event service.
Serve neat in a tulip-shaped or Cognac glass, or over a single large cube when a slightly softer expression is preferred.
It pairs particularly well with dessert, cheese, poultry, depending on the style of service and occasion.
A strong premium choice for gifting, after-dinner enjoyment, luxury entertaining and customers looking for a distinguished aged spirit.</x:v>
      </x:c>
      <x:c r="G9" s="45" t="n">
        <x:f>Verification!D6*1.15</x:f>
        <x:v>1263.85</x:v>
      </x:c>
      <x:c r="H9" s="44" t="str">
        <x:v>Honor, Cognac, VSOP, France, 750ml, Premium</x:v>
      </x:c>
      <x:c r="I9" s="44" t="str">
        <x:v>Honey, Orange Blossom, Floral Notes, Oak, Vanilla, Warm Spice</x:v>
      </x:c>
      <x:c r="J9" s="44" t="str">
        <x:v>Light &amp; Floral, Fruity &amp; Spicy, Soft</x:v>
      </x:c>
      <x:c r="K9" s="44" t="str">
        <x:v>Dessert, Cheese, Poultry</x:v>
      </x:c>
      <x:c r="L9" s="46" t="b">
        <x:v>0</x:v>
      </x:c>
      <x:c r="M9" s="44" t="str">
        <x:v>https://symbiotewhiskyclub.com/cdn/shop/files/HonorVSOPLimitedReleaseGold_1_1000x.jpg?v=1683268754</x:v>
      </x:c>
      <x:c r="N9" s="44" t="str"/>
      <x:c r="O9" s="44" t="str"/>
      <x:c r="P9" s="44" t="str"/>
      <x:c r="Q9" s="44" t="str"/>
      <x:c r="R9" s="44" t="str">
        <x:v>750ml</x:v>
      </x:c>
      <x:c r="S9" s="44" t="str">
        <x:v>https://www.ngf.co.za/brands/honor/</x:v>
      </x:c>
    </x:row>
    <x:row r="10" ht="132" customHeight="1">
      <x:c r="A10" s="44" t="str">
        <x:v>Cognac</x:v>
      </x:c>
      <x:c r="B10" s="44" t="str">
        <x:v>France Cognac</x:v>
      </x:c>
      <x:c r="C10" s="44" t="str">
        <x:v>XO</x:v>
      </x:c>
      <x:c r="D10" s="44" t="str">
        <x:v>Bisquit</x:v>
      </x:c>
      <x:c r="E10" s="44" t="str">
        <x:v>Bisquit &amp; Dubouche XO 750ml</x:v>
      </x:c>
      <x:c r="F10" s="44" t="str">
        <x:v>Bisquit &amp; Dubouche XO 750ml is a premium xo cognac from Bisquit &amp; Dubouche, presented in a 750ml format.
It reflects the polished fruit, spice and oak character associated with premium Cognac from France.
The aromatic profile opens with tobacco, cocoa, candied fruit, creating a rich and inviting first impression.
On the palate, prune, mocha, cedarwood add further depth while the texture remains rounded and controlled.
The mature XO profile brings greater concentration and complexity, with rich fruit, spice and seasoned oak working in harmony.
The finish is long and polished, leaving lingering dried-fruit, spice and oak impressions.
The bottle is well suited to premium gifting, refined entertaining and an elevated after-dinner serve.
Serve neat in a tulip-shaped or Cognac glass, or over a single large cube when a slightly softer expression is preferred.
It pairs particularly well with dessert, cheese, beef &amp; steak, depending on the style of service and occasion.
A strong premium choice for gifting, after-dinner enjoyment, luxury entertaining and customers looking for a distinguished aged spirit.</x:v>
      </x:c>
      <x:c r="G10" s="45" t="n">
        <x:f>Verification!D7*1.15</x:f>
        <x:v>4023.85</x:v>
      </x:c>
      <x:c r="H10" s="44" t="str">
        <x:v>Bisquit, Cognac, XO, France, 750ml, Premium</x:v>
      </x:c>
      <x:c r="I10" s="44" t="str">
        <x:v>Tobacco, Cocoa, Candied Fruit, Prune, Mocha, Cedarwood</x:v>
      </x:c>
      <x:c r="J10" s="44" t="str">
        <x:v>Rich &amp; Sherried, Fruity &amp; Spicy, Soft</x:v>
      </x:c>
      <x:c r="K10" s="44" t="str">
        <x:v>Dessert, Cheese, Beef &amp; Steak</x:v>
      </x:c>
      <x:c r="L10" s="46" t="b">
        <x:v>0</x:v>
      </x:c>
      <x:c r="M10" s="44" t="str">
        <x:v>https://www.wine.com/product/images/w_767%2Cc_fit%2Cq_auto%3Agood%2Cfl_progressive/kzmied09ascind7u2tie.jpg</x:v>
      </x:c>
      <x:c r="N10" s="44" t="str"/>
      <x:c r="O10" s="44" t="str"/>
      <x:c r="P10" s="44" t="str"/>
      <x:c r="Q10" s="44" t="str"/>
      <x:c r="R10" s="44" t="str">
        <x:v>750ml</x:v>
      </x:c>
      <x:c r="S10" s="44" t="str">
        <x:v>https://www.ngf.co.za/brands/bisquit/</x:v>
      </x:c>
    </x:row>
    <x:row r="11" ht="132" customHeight="1">
      <x:c r="A11" s="44" t="str">
        <x:v>Cognac</x:v>
      </x:c>
      <x:c r="B11" s="44" t="str">
        <x:v>France Cognac</x:v>
      </x:c>
      <x:c r="C11" s="44" t="str">
        <x:v>XO</x:v>
      </x:c>
      <x:c r="D11" s="44" t="str">
        <x:v>Courvoisier</x:v>
      </x:c>
      <x:c r="E11" s="44" t="str">
        <x:v>Courvoisier XO Cognac 750ml</x:v>
      </x:c>
      <x:c r="F11" s="44" t="str">
        <x:v>Courvoisier XO Cognac 750ml is a premium xo cognac from Courvoisier, presented in a 750ml format.
It reflects the polished fruit, spice and oak character associated with premium Cognac from France.
The aromatic profile opens with fig, raisin, plum, creating a rich and inviting first impression.
On the palate, candied orange, creme brulee, oak add further depth while the texture remains rounded and controlled.
The mature XO profile brings greater concentration and complexity, with rich fruit, spice and seasoned oak working in harmony.
The finish is long and polished, leaving lingering dried-fruit, spice and oak impressions.
The bottle is well suited to premium gifting, refined entertaining and an elevated after-dinner serve.
Serve neat in a tulip-shaped or Cognac glass, or over a single large cube when a slightly softer expression is preferred.
It pairs particularly well with dessert, cheese, beef &amp; steak, depending on the style of service and occasion.
A strong premium choice for gifting, after-dinner enjoyment, luxury entertaining and customers looking for a distinguished aged spirit.</x:v>
      </x:c>
      <x:c r="G11" s="45" t="n">
        <x:f>Verification!D8*1.15</x:f>
        <x:v>3678.85</x:v>
      </x:c>
      <x:c r="H11" s="44" t="str">
        <x:v>Courvoisier, Cognac, XO, France, 750ml, Premium</x:v>
      </x:c>
      <x:c r="I11" s="44" t="str">
        <x:v>Fig, Raisin, Plum, Candied Orange, Creme Brulee, Oak</x:v>
      </x:c>
      <x:c r="J11" s="44" t="str">
        <x:v>Rich &amp; Sherried, Fruity &amp; Spicy, Soft</x:v>
      </x:c>
      <x:c r="K11" s="44" t="str">
        <x:v>Dessert, Cheese, Beef &amp; Steak</x:v>
      </x:c>
      <x:c r="L11" s="46" t="b">
        <x:v>0</x:v>
      </x:c>
      <x:c r="M11" s="44" t="str">
        <x:v>https://kegnbottle.com/cdn/shop/files/courvoisier-xo-cognac-750-ml-keg-n-bottle-370540.png?v=1741202865&amp;width=1920</x:v>
      </x:c>
      <x:c r="N11" s="44" t="str"/>
      <x:c r="O11" s="44" t="str"/>
      <x:c r="P11" s="44" t="str"/>
      <x:c r="Q11" s="44" t="str"/>
      <x:c r="R11" s="44" t="str">
        <x:v>750ml</x:v>
      </x:c>
      <x:c r="S11" s="44" t="str">
        <x:v>https://www.ngf.co.za/product-category/cognac/xo/</x:v>
      </x:c>
    </x:row>
    <x:row r="12" ht="132" customHeight="1">
      <x:c r="A12" s="44" t="str">
        <x:v>Cognac</x:v>
      </x:c>
      <x:c r="B12" s="44" t="str">
        <x:v>France Cognac</x:v>
      </x:c>
      <x:c r="C12" s="44" t="str">
        <x:v>XO</x:v>
      </x:c>
      <x:c r="D12" s="44" t="str">
        <x:v>Dusse</x:v>
      </x:c>
      <x:c r="E12" s="44" t="str">
        <x:v>Dusse XO 750ml</x:v>
      </x:c>
      <x:c r="F12" s="44" t="str">
        <x:v>Dusse XO 750ml is a premium xo cognac from Dusse, presented in a 750ml format.
It reflects the polished fruit, spice and oak character associated with premium Cognac from France.
The aromatic profile opens with blackberry, apricot, dark chocolate, creating a rich and inviting first impression.
On the palate, walnut, oak, warm spice add further depth while the texture remains rounded and controlled.
The mature XO profile brings greater concentration and complexity, with rich fruit, spice and seasoned oak working in harmony.
The finish is long and polished, leaving lingering dried-fruit, spice and oak impressions.
The bottle is well suited to premium gifting, refined entertaining and an elevated after-dinner serve.
Serve neat in a tulip-shaped or Cognac glass, or over a single large cube when a slightly softer expression is preferred.
It pairs particularly well with dessert, cheese, beef &amp; steak, depending on the style of service and occasion.
A strong premium choice for gifting, after-dinner enjoyment, luxury entertaining and customers looking for a distinguished aged spirit.</x:v>
      </x:c>
      <x:c r="G12" s="45" t="n">
        <x:f>Verification!D9*1.15</x:f>
        <x:v>3218.85</x:v>
      </x:c>
      <x:c r="H12" s="44" t="str">
        <x:v>Dusse, Cognac, XO, France, 750ml, Premium</x:v>
      </x:c>
      <x:c r="I12" s="44" t="str">
        <x:v>Blackberry, Apricot, Dark Chocolate, Walnut, Oak, Warm Spice</x:v>
      </x:c>
      <x:c r="J12" s="44" t="str">
        <x:v>Rich &amp; Sherried, Fruity &amp; Spicy, Soft</x:v>
      </x:c>
      <x:c r="K12" s="44" t="str">
        <x:v>Dessert, Cheese, Beef &amp; Steak</x:v>
      </x:c>
      <x:c r="L12" s="46" t="b">
        <x:v>0</x:v>
      </x:c>
      <x:c r="M12" s="44" t="str">
        <x:v>https://tb-static.uber.com/prod/image-proc/processed_images/ec2fc1d766d7f05b0d15e047b53b53e6/b4665c191b34baf3d0e0fa45dfdd3d1d.jpeg</x:v>
      </x:c>
      <x:c r="N12" s="44" t="str"/>
      <x:c r="O12" s="44" t="str"/>
      <x:c r="P12" s="44" t="str"/>
      <x:c r="Q12" s="44" t="str"/>
      <x:c r="R12" s="44" t="str">
        <x:v>750ml</x:v>
      </x:c>
      <x:c r="S12" s="44" t="str">
        <x:v>https://www.ngf.co.za/brands/dusse/</x:v>
      </x:c>
    </x:row>
    <x:row r="13" ht="132" customHeight="1">
      <x:c r="A13" s="44" t="str">
        <x:v>Cognac</x:v>
      </x:c>
      <x:c r="B13" s="44" t="str">
        <x:v>France Cognac</x:v>
      </x:c>
      <x:c r="C13" s="44" t="str">
        <x:v>XO</x:v>
      </x:c>
      <x:c r="D13" s="44" t="str">
        <x:v>Hennessy</x:v>
      </x:c>
      <x:c r="E13" s="44" t="str">
        <x:v>Hennessy XO Cognac 750ml</x:v>
      </x:c>
      <x:c r="F13" s="44" t="str">
        <x:v>Hennessy XO Cognac 750ml is a premium xo cognac from Hennessy, presented in a 750ml format.
It reflects the polished fruit, spice and oak character associated with premium Cognac from France.
The aromatic profile opens with candied fruit, cocoa, black pepper, creating a rich and inviting first impression.
On the palate, dried fruit, oak, warm spice add further depth while the texture remains rounded and controlled.
The mature XO profile brings greater concentration and complexity, with rich fruit, spice and seasoned oak working in harmony.
The finish is long and polished, leaving lingering dried-fruit, spice and oak impressions.
The bottle is well suited to premium gifting, refined entertaining and an elevated after-dinner serve.
Serve neat in a tulip-shaped or Cognac glass, or over a single large cube when a slightly softer expression is preferred.
It pairs particularly well with dessert, cheese, beef &amp; steak, depending on the style of service and occasion.
A strong premium choice for gifting, after-dinner enjoyment, luxury entertaining and customers looking for a distinguished aged spirit.</x:v>
      </x:c>
      <x:c r="G13" s="45" t="n">
        <x:f>Verification!D10*1.15</x:f>
        <x:v>3793.85</x:v>
      </x:c>
      <x:c r="H13" s="44" t="str">
        <x:v>Hennessy, Cognac, XO, France, 750ml, Premium</x:v>
      </x:c>
      <x:c r="I13" s="44" t="str">
        <x:v>Candied Fruit, Cocoa, Black Pepper, Dried Fruit, Oak, Warm Spice</x:v>
      </x:c>
      <x:c r="J13" s="44" t="str">
        <x:v>Rich &amp; Sherried, Fruity &amp; Spicy, Soft</x:v>
      </x:c>
      <x:c r="K13" s="44" t="str">
        <x:v>Dessert, Cheese, Beef &amp; Steak</x:v>
      </x:c>
      <x:c r="L13" s="46" t="b">
        <x:v>0</x:v>
      </x:c>
      <x:c r="M13" s="44" t="str">
        <x:v>https://whiskyandwhiskey.com/cdn/shop/files/hennessy-cognac-xo_v2_57df3a82-3832-4615-aa77-dc3bcfeb9e1b.jpg?v=1764530555&amp;width=2048</x:v>
      </x:c>
      <x:c r="N13" s="44" t="str"/>
      <x:c r="O13" s="44" t="str"/>
      <x:c r="P13" s="44" t="str"/>
      <x:c r="Q13" s="44" t="str"/>
      <x:c r="R13" s="44" t="str">
        <x:v>750ml</x:v>
      </x:c>
      <x:c r="S13" s="44" t="str">
        <x:v>https://www.ngf.co.za/product-category/cognac/xo/</x:v>
      </x:c>
    </x:row>
    <x:row r="14" ht="132" customHeight="1">
      <x:c r="A14" s="44" t="str">
        <x:v>Cognac</x:v>
      </x:c>
      <x:c r="B14" s="44" t="str">
        <x:v>France Cognac</x:v>
      </x:c>
      <x:c r="C14" s="44" t="str">
        <x:v>XO</x:v>
      </x:c>
      <x:c r="D14" s="44" t="str">
        <x:v>Leyrat</x:v>
      </x:c>
      <x:c r="E14" s="44" t="str">
        <x:v>Leyrat Cognac XO Elite 750ml</x:v>
      </x:c>
      <x:c r="F14" s="44" t="str">
        <x:v>Leyrat Cognac XO Elite 750ml is a premium xo cognac from Leyrat, presented in a 750ml format.
It reflects the polished fruit, spice and oak character associated with premium Cognac from France.
The aromatic profile opens with dried fruit, walnut, cocoa, creating a rich and inviting first impression.
On the palate, vanilla, oak, baking spice add further depth while the texture remains rounded and controlled.
The mature XO profile brings greater concentration and complexity, with rich fruit, spice and seasoned oak working in harmony.
The finish is long and polished, leaving lingering dried-fruit, spice and oak impressions.
The bottle is well suited to premium gifting, refined entertaining and an elevated after-dinner serve.
Serve neat in a tulip-shaped or Cognac glass, or over a single large cube when a slightly softer expression is preferred.
It pairs particularly well with dessert, cheese, beef &amp; steak, depending on the style of service and occasion.
A strong premium choice for gifting, after-dinner enjoyment, luxury entertaining and customers looking for a distinguished aged spirit.</x:v>
      </x:c>
      <x:c r="G14" s="45" t="n">
        <x:f>Verification!D11*1.15</x:f>
        <x:v>8163.849999999999</x:v>
      </x:c>
      <x:c r="H14" s="44" t="str">
        <x:v>Leyrat, Cognac, XO, France, 750ml, Premium</x:v>
      </x:c>
      <x:c r="I14" s="44" t="str">
        <x:v>Dried Fruit, Walnut, Cocoa, Vanilla, Oak, Baking Spice</x:v>
      </x:c>
      <x:c r="J14" s="44" t="str">
        <x:v>Rich &amp; Sherried, Fruity &amp; Spicy, Soft</x:v>
      </x:c>
      <x:c r="K14" s="44" t="str">
        <x:v>Dessert, Cheese, Beef &amp; Steak</x:v>
      </x:c>
      <x:c r="L14" s="46" t="b">
        <x:v>0</x:v>
      </x:c>
      <x:c r="M14" s="44" t="str">
        <x:v>https://mothercityliquor.co.za/cdn/shop/files/Shopifypics_9_01e6e3fc-e022-4df4-a7b3-c9797c565155_1075x1075.jpg?v=1693907348</x:v>
      </x:c>
      <x:c r="N14" s="44" t="str"/>
      <x:c r="O14" s="44" t="str"/>
      <x:c r="P14" s="44" t="str"/>
      <x:c r="Q14" s="44" t="str"/>
      <x:c r="R14" s="44" t="str">
        <x:v>750ml</x:v>
      </x:c>
      <x:c r="S14" s="44" t="str">
        <x:v>https://www.ngf.co.za/product-category/cognac/xo/</x:v>
      </x:c>
    </x:row>
    <x:row r="15" ht="132" customHeight="1">
      <x:c r="A15" s="44" t="str">
        <x:v>Cognac</x:v>
      </x:c>
      <x:c r="B15" s="44" t="str">
        <x:v>France Cognac</x:v>
      </x:c>
      <x:c r="C15" s="44" t="str">
        <x:v>XO</x:v>
      </x:c>
      <x:c r="D15" s="44" t="str">
        <x:v>Meukow</x:v>
      </x:c>
      <x:c r="E15" s="44" t="str">
        <x:v>Meukow XO Grande Champagne 750ml</x:v>
      </x:c>
      <x:c r="F15" s="44" t="str">
        <x:v>Meukow XO Grande Champagne 750ml is a premium xo cognac from Meukow, presented in a 750ml format.
It reflects the polished fruit, spice and oak character associated with premium Cognac from France.
The aromatic profile opens with dried fruit, vanilla, orange peel, creating a rich and inviting first impression.
On the palate, oak, baking spice, toasted nuts add further depth while the texture remains rounded and controlled.
The mature XO profile brings greater concentration and complexity, with rich fruit, spice and seasoned oak working in harmony.
The finish is long and polished, leaving lingering dried-fruit, spice and oak impressions.
The bottle is well suited to premium gifting, refined entertaining and an elevated after-dinner serve.
Serve neat in a tulip-shaped or Cognac glass, or over a single large cube when a slightly softer expression is preferred.
It pairs particularly well with dessert, cheese, beef &amp; steak, depending on the style of service and occasion.
A strong premium choice for gifting, after-dinner enjoyment, luxury entertaining and customers looking for a distinguished aged spirit.</x:v>
      </x:c>
      <x:c r="G15" s="45" t="n">
        <x:f>Verification!D12*1.15</x:f>
        <x:v>2873.85</x:v>
      </x:c>
      <x:c r="H15" s="44" t="str">
        <x:v>Meukow, Cognac, XO, France, 750ml, Premium</x:v>
      </x:c>
      <x:c r="I15" s="44" t="str">
        <x:v>Dried Fruit, Vanilla, Orange Peel, Oak, Baking Spice, Toasted Nuts</x:v>
      </x:c>
      <x:c r="J15" s="44" t="str">
        <x:v>Rich &amp; Sherried, Fruity &amp; Spicy, Soft</x:v>
      </x:c>
      <x:c r="K15" s="44" t="str">
        <x:v>Dessert, Cheese, Beef &amp; Steak</x:v>
      </x:c>
      <x:c r="L15" s="46" t="b">
        <x:v>0</x:v>
      </x:c>
      <x:c r="M15" s="44" t="str">
        <x:v>https://www.syurui.co.jp/cdn/shop/files/2231.jpg?v=1722062214</x:v>
      </x:c>
      <x:c r="N15" s="44" t="str"/>
      <x:c r="O15" s="44" t="str"/>
      <x:c r="P15" s="44" t="str"/>
      <x:c r="Q15" s="44" t="str"/>
      <x:c r="R15" s="44" t="str">
        <x:v>750ml</x:v>
      </x:c>
      <x:c r="S15" s="44" t="str">
        <x:v>https://www.ngf.co.za/product-category/cognac/xo/</x:v>
      </x:c>
    </x:row>
    <x:row r="16" ht="132" customHeight="1">
      <x:c r="A16" s="44" t="str">
        <x:v>Cognac</x:v>
      </x:c>
      <x:c r="B16" s="44" t="str">
        <x:v>France Cognac</x:v>
      </x:c>
      <x:c r="C16" s="44" t="str">
        <x:v>XO</x:v>
      </x:c>
      <x:c r="D16" s="44" t="str">
        <x:v>Remy Martin</x:v>
      </x:c>
      <x:c r="E16" s="44" t="str">
        <x:v>Remy Martin XO 750ml</x:v>
      </x:c>
      <x:c r="F16" s="44" t="str">
        <x:v>Remy Martin XO 750ml is a premium xo cognac from Remy Martin, presented in a 750ml format.
It reflects the polished fruit, spice and oak character associated with premium Cognac from France.
The aromatic profile opens with ripe plum, fig, floral notes, creating a rich and inviting first impression.
On the palate, hazelnut, cinnamon, dark chocolate add further depth while the texture remains rounded and controlled.
The mature XO profile brings greater concentration and complexity, with rich fruit, spice and seasoned oak working in harmony.
The finish is long and polished, leaving lingering dried-fruit, spice and oak impressions.
The bottle is well suited to premium gifting, refined entertaining and an elevated after-dinner serve.
Serve neat in a tulip-shaped or Cognac glass, or over a single large cube when a slightly softer expression is preferred.
It pairs particularly well with dessert, cheese, beef &amp; steak, depending on the style of service and occasion.
A strong premium choice for gifting, after-dinner enjoyment, luxury entertaining and customers looking for a distinguished aged spirit.</x:v>
      </x:c>
      <x:c r="G16" s="45" t="n">
        <x:f>Verification!D13*1.15</x:f>
        <x:v>4023.85</x:v>
      </x:c>
      <x:c r="H16" s="44" t="str">
        <x:v>Remy Martin, Cognac, XO, France, 750ml, Premium</x:v>
      </x:c>
      <x:c r="I16" s="44" t="str">
        <x:v>Ripe Plum, Fig, Floral Notes, Hazelnut, Cinnamon, Dark Chocolate</x:v>
      </x:c>
      <x:c r="J16" s="44" t="str">
        <x:v>Rich &amp; Sherried, Fruity &amp; Spicy, Soft</x:v>
      </x:c>
      <x:c r="K16" s="44" t="str">
        <x:v>Dessert, Cheese, Beef &amp; Steak</x:v>
      </x:c>
      <x:c r="L16" s="46" t="b">
        <x:v>0</x:v>
      </x:c>
      <x:c r="M16" s="44" t="str">
        <x:v>https://barbank.com/cdn/shop/products/remy-martin-xo-1000x1000-1.jpg?v=1692652515</x:v>
      </x:c>
      <x:c r="N16" s="44" t="str"/>
      <x:c r="O16" s="44" t="str"/>
      <x:c r="P16" s="44" t="str"/>
      <x:c r="Q16" s="44" t="str"/>
      <x:c r="R16" s="44" t="str">
        <x:v>750ml</x:v>
      </x:c>
      <x:c r="S16" s="44" t="str">
        <x:v>https://www.ngf.co.za/product-category/cognac/xo/</x:v>
      </x:c>
    </x:row>
    <x:row r="17" ht="132" customHeight="1">
      <x:c r="A17" s="44" t="str">
        <x:v>Cognac</x:v>
      </x:c>
      <x:c r="B17" s="44" t="str">
        <x:v>France Cognac</x:v>
      </x:c>
      <x:c r="C17" s="44" t="str">
        <x:v>XO</x:v>
      </x:c>
      <x:c r="D17" s="44" t="str">
        <x:v>Remy Martin</x:v>
      </x:c>
      <x:c r="E17" s="44" t="str">
        <x:v>Remy Martin XO Coffret Limited Edition 750ml</x:v>
      </x:c>
      <x:c r="F17" s="44" t="str">
        <x:v>Remy Martin XO Coffret Limited Edition 750ml is a premium xo cognac from Remy Martin, presented in a 750ml format.
It reflects the polished fruit, spice and oak character associated with premium Cognac from France.
The aromatic profile opens with ripe plum, fig, floral notes, creating a rich and inviting first impression.
On the palate, hazelnut, cinnamon, dark chocolate add further depth while the texture remains rounded and controlled.
The mature XO profile brings greater concentration and complexity, with rich fruit, spice and seasoned oak working in harmony.
The finish is long and polished, leaving lingering dried-fruit, spice and oak impressions.
The presentation format also makes it especially suitable for premium gifting, celebrations and collector-focused retail.
Serve neat in a tulip-shaped or Cognac glass, or over a single large cube when a slightly softer expression is preferred.
It pairs particularly well with dessert, cheese, beef &amp; steak, depending on the style of service and occasion.
A strong premium choice for gifting, after-dinner enjoyment, luxury entertaining and customers looking for a distinguished aged spirit.</x:v>
      </x:c>
      <x:c r="G17" s="45" t="n">
        <x:f>Verification!D14*1.15</x:f>
        <x:v>4023.85</x:v>
      </x:c>
      <x:c r="H17" s="44" t="str">
        <x:v>Remy Martin, Cognac, XO, France, 750ml, Premium</x:v>
      </x:c>
      <x:c r="I17" s="44" t="str">
        <x:v>Ripe Plum, Fig, Floral Notes, Hazelnut, Cinnamon, Dark Chocolate</x:v>
      </x:c>
      <x:c r="J17" s="44" t="str">
        <x:v>Rich &amp; Sherried, Fruity &amp; Spicy, Soft</x:v>
      </x:c>
      <x:c r="K17" s="44" t="str">
        <x:v>Dessert, Cheese, Beef &amp; Steak</x:v>
      </x:c>
      <x:c r="L17" s="46" t="b">
        <x:v>0</x:v>
      </x:c>
      <x:c r="M17" s="44" t="str">
        <x:v>https://mybevstore.com/cdn/shop/products/RemyMartinXO.jpg?v=1673842648&amp;width=1200</x:v>
      </x:c>
      <x:c r="N17" s="44" t="str"/>
      <x:c r="O17" s="44" t="str"/>
      <x:c r="P17" s="44" t="str"/>
      <x:c r="Q17" s="44" t="str"/>
      <x:c r="R17" s="44" t="str">
        <x:v>750ml</x:v>
      </x:c>
      <x:c r="S17" s="44" t="str">
        <x:v>https://www.ngf.co.za/product-category/cognac/xo/</x:v>
      </x:c>
    </x:row>
    <x:row r="18" ht="132" customHeight="1">
      <x:c r="A18" s="44" t="str">
        <x:v>Cognac</x:v>
      </x:c>
      <x:c r="B18" s="44" t="str">
        <x:v>France Cognac</x:v>
      </x:c>
      <x:c r="C18" s="44" t="str">
        <x:v>XO</x:v>
      </x:c>
      <x:c r="D18" s="44" t="str">
        <x:v>Richelieu</x:v>
      </x:c>
      <x:c r="E18" s="44" t="str">
        <x:v>Richelieu Cognac XO 750ml</x:v>
      </x:c>
      <x:c r="F18" s="44" t="str">
        <x:v>Richelieu Cognac XO 750ml is a premium xo cognac from Richelieu, presented in a 750ml format.
It reflects the polished fruit, spice and oak character associated with premium Cognac from France.
The aromatic profile opens with dried fruit, vanilla, oak, creating a rich and inviting first impression.
On the palate, baking spice, caramel, toasted nuts add further depth while the texture remains rounded and controlled.
The mature XO profile brings greater concentration and complexity, with rich fruit, spice and seasoned oak working in harmony.
The finish is long and polished, leaving lingering dried-fruit, spice and oak impressions.
The bottle is well suited to premium gifting, refined entertaining and an elevated after-dinner serve.
Serve neat in a tulip-shaped or Cognac glass, or over a single large cube when a slightly softer expression is preferred.
It pairs particularly well with dessert, cheese, beef &amp; steak, depending on the style of service and occasion.
A strong premium choice for gifting, after-dinner enjoyment, luxury entertaining and customers looking for a distinguished aged spirit.</x:v>
      </x:c>
      <x:c r="G18" s="45" t="n">
        <x:f>Verification!D15*1.15</x:f>
        <x:v>2873.85</x:v>
      </x:c>
      <x:c r="H18" s="44" t="str">
        <x:v>Richelieu, Cognac, XO, France, 750ml, Premium</x:v>
      </x:c>
      <x:c r="I18" s="44" t="str">
        <x:v>Dried Fruit, Vanilla, Oak, Baking Spice, Caramel, Toasted Nuts</x:v>
      </x:c>
      <x:c r="J18" s="44" t="str">
        <x:v>Rich &amp; Sherried, Fruity &amp; Spicy, Soft</x:v>
      </x:c>
      <x:c r="K18" s="44" t="str">
        <x:v>Dessert, Cheese, Beef &amp; Steak</x:v>
      </x:c>
      <x:c r="L18" s="46" t="b">
        <x:v>0</x:v>
      </x:c>
      <x:c r="M18" s="44" t="str">
        <x:v>https://mothercityliquor.co.za/cdn/shop/files/Untitleddesign-2023-12-05T115709.283_1024x1024.jpg?v=1701770283</x:v>
      </x:c>
      <x:c r="N18" s="44" t="str"/>
      <x:c r="O18" s="44" t="str"/>
      <x:c r="P18" s="44" t="str"/>
      <x:c r="Q18" s="44" t="str"/>
      <x:c r="R18" s="44" t="str">
        <x:v>750ml</x:v>
      </x:c>
      <x:c r="S18" s="44" t="str">
        <x:v>https://www.ngf.co.za/product-category/cognac/xo/</x:v>
      </x:c>
    </x:row>
    <x:row r="19" ht="132" customHeight="1">
      <x:c r="A19" s="44" t="str">
        <x:v>Cognac</x:v>
      </x:c>
      <x:c r="B19" s="44" t="str">
        <x:v>France Cognac</x:v>
      </x:c>
      <x:c r="C19" s="44" t="str">
        <x:v>XO</x:v>
      </x:c>
      <x:c r="D19" s="44" t="str">
        <x:v>Tesseron</x:v>
      </x:c>
      <x:c r="E19" s="44" t="str">
        <x:v>Tesseron Cognac XO Lot 90 750ml</x:v>
      </x:c>
      <x:c r="F19" s="44" t="str">
        <x:v>Tesseron Cognac XO Lot 90 750ml is a premium xo cognac from Tesseron, presented in a 750ml format.
It reflects the polished fruit, spice and oak character associated with premium Cognac from France.
The aromatic profile opens with pear, apple, honey, creating a rich and inviting first impression.
On the palate, tropical fruit, maple, oak add further depth while the texture remains rounded and controlled.
The mature XO profile brings greater concentration and complexity, with rich fruit, spice and seasoned oak working in harmony.
The finish is long and polished, leaving lingering dried-fruit, spice and oak impressions.
The bottle is well suited to premium gifting, refined entertaining and an elevated after-dinner serve.
Serve neat in a tulip-shaped or Cognac glass, or over a single large cube when a slightly softer expression is preferred.
It pairs particularly well with dessert, cheese, poultry, depending on the style of service and occasion.
A strong premium choice for gifting, after-dinner enjoyment, luxury entertaining and customers looking for a distinguished aged spirit.</x:v>
      </x:c>
      <x:c r="G19" s="45" t="n">
        <x:f>Verification!D16*1.15</x:f>
        <x:v>1988.35</x:v>
      </x:c>
      <x:c r="H19" s="44" t="str">
        <x:v>Tesseron, Cognac, XO, France, 750ml, Premium</x:v>
      </x:c>
      <x:c r="I19" s="44" t="str">
        <x:v>Pear, Apple, Honey, Tropical Fruit, Maple, Oak</x:v>
      </x:c>
      <x:c r="J19" s="44" t="str">
        <x:v>Fruity &amp; Spicy, Soft</x:v>
      </x:c>
      <x:c r="K19" s="44" t="str">
        <x:v>Dessert, Cheese, Poultry</x:v>
      </x:c>
      <x:c r="L19" s="46" t="b">
        <x:v>0</x:v>
      </x:c>
      <x:c r="M19" s="44" t="str">
        <x:v>https://theliquorbarn.com/cdn/shop/files/Tesseron-Lot-No-90-Selection-XO__96756.jpg?v=1730475324&amp;width=1214</x:v>
      </x:c>
      <x:c r="N19" s="44" t="str"/>
      <x:c r="O19" s="44" t="str"/>
      <x:c r="P19" s="44" t="str"/>
      <x:c r="Q19" s="44" t="str"/>
      <x:c r="R19" s="44" t="str">
        <x:v>750ml</x:v>
      </x:c>
      <x:c r="S19" s="44" t="str">
        <x:v>https://www.ngf.co.za/product-category/cognac/xo/</x:v>
      </x:c>
    </x:row>
    <x:row r="20" ht="132" customHeight="1">
      <x:c r="A20" s="44" t="str">
        <x:v>Cognac</x:v>
      </x:c>
      <x:c r="B20" s="44" t="str">
        <x:v>France Cognac</x:v>
      </x:c>
      <x:c r="C20" s="44" t="str"/>
      <x:c r="D20" s="44" t="str">
        <x:v>Godet</x:v>
      </x:c>
      <x:c r="E20" s="44" t="str">
        <x:v>Godet Renaissance Grande Champagne Cognac 750ml</x:v>
      </x:c>
      <x:c r="F20" s="44" t="str">
        <x:v>Godet Renaissance Grande Champagne Cognac 750ml is a premium prestige grande champagne cognac from Godet, presented in a 750ml format.
It showcases the depth and finesse associated with Grande Champagne, the celebrated premier cru of the Cognac region.
The aromatic profile opens with dried fruit, rancio, walnut, creating a rich and inviting first impression.
On the palate, fig, leather, old oak add further depth while the texture remains rounded and controlled.
Its extended maturation creates exceptional depth, combining concentrated fruit, mature oak and layered secondary aromas.
The finish is exceptionally long and refined, with fruit, nuts, spice and seasoned wood unfolding gradually.
The bottle is well suited to premium gifting, refined entertaining and an elevated after-dinner serve.
Serve neat in a tulip-shaped or Cognac glass, or over a single large cube when a slightly softer expression is preferred.
It pairs particularly well with dessert, cheese, beef &amp; steak, depending on the style of service and occasion.
A strong premium choice for gifting, after-dinner enjoyment, luxury entertaining and customers looking for a distinguished aged spirit.</x:v>
      </x:c>
      <x:c r="G20" s="45" t="n">
        <x:f>Verification!D17*1.15</x:f>
        <x:v>33348.85</x:v>
      </x:c>
      <x:c r="H20" s="44" t="str">
        <x:v>Godet, Cognac, Premium Cognac, France, 750ml, Premium</x:v>
      </x:c>
      <x:c r="I20" s="44" t="str">
        <x:v>Dried Fruit, Rancio, Walnut, Fig, Leather, Old Oak</x:v>
      </x:c>
      <x:c r="J20" s="44" t="str">
        <x:v>Rich &amp; Sherried, Fruity &amp; Spicy, Soft</x:v>
      </x:c>
      <x:c r="K20" s="44" t="str">
        <x:v>Dessert, Cheese, Beef &amp; Steak</x:v>
      </x:c>
      <x:c r="L20" s="46" t="b">
        <x:v>0</x:v>
      </x:c>
      <x:c r="M20" s="44" t="str">
        <x:v>https://static.cognac-expert.com/13616-large_default/godet-renaissance-grande-champagne-cognac.webp</x:v>
      </x:c>
      <x:c r="N20" s="44" t="str"/>
      <x:c r="O20" s="44" t="str"/>
      <x:c r="P20" s="44" t="str"/>
      <x:c r="Q20" s="44" t="str"/>
      <x:c r="R20" s="44" t="str">
        <x:v>750ml</x:v>
      </x:c>
      <x:c r="S20" s="44" t="str">
        <x:v>https://www.ngf.co.za/brands/godet/</x:v>
      </x:c>
    </x:row>
    <x:row r="21" ht="132" customHeight="1">
      <x:c r="A21" s="44" t="str">
        <x:v>Cognac</x:v>
      </x:c>
      <x:c r="B21" s="44" t="str">
        <x:v>France Cognac</x:v>
      </x:c>
      <x:c r="C21" s="44" t="str"/>
      <x:c r="D21" s="44" t="str">
        <x:v>Hennessy</x:v>
      </x:c>
      <x:c r="E21" s="44" t="str">
        <x:v>Hennessy Paradis 750ml</x:v>
      </x:c>
      <x:c r="F21" s="44" t="str">
        <x:v>Hennessy Paradis 750ml is a premium prestige cognac from Hennessy, presented in a 750ml format.
It reflects the polished fruit, spice and oak character associated with premium Cognac from France.
The aromatic profile opens with floral notes, jasmine, cinnamon, creating a rich and inviting first impression.
On the palate, candied fruit, honey, silky oak add further depth while the texture remains rounded and controlled.
Its extended maturation creates exceptional depth, combining concentrated fruit, mature oak and layered secondary aromas.
The finish is exceptionally long and refined, with fruit, nuts, spice and seasoned wood unfolding gradually.
The bottle is well suited to premium gifting, refined entertaining and an elevated after-dinner serve.
Serve neat in a tulip-shaped or Cognac glass, or over a single large cube when a slightly softer expression is preferred.
It pairs particularly well with dessert, cheese, depending on the style of service and occasion.
A strong premium choice for gifting, after-dinner enjoyment, luxury entertaining and customers looking for a distinguished aged spirit.</x:v>
      </x:c>
      <x:c r="G21" s="45" t="n">
        <x:f>Verification!D18*1.15</x:f>
        <x:v>25298.85</x:v>
      </x:c>
      <x:c r="H21" s="44" t="str">
        <x:v>Hennessy, Cognac, Premium Cognac, France, 750ml, Premium</x:v>
      </x:c>
      <x:c r="I21" s="44" t="str">
        <x:v>Floral Notes, Jasmine, Cinnamon, Candied Fruit, Honey, Silky Oak</x:v>
      </x:c>
      <x:c r="J21" s="44" t="str">
        <x:v>Light &amp; Floral, Rich &amp; Sherried, Soft</x:v>
      </x:c>
      <x:c r="K21" s="44" t="str">
        <x:v>Dessert, Cheese</x:v>
      </x:c>
      <x:c r="L21" s="46" t="b">
        <x:v>0</x:v>
      </x:c>
      <x:c r="M21" s="44" t="str">
        <x:v>https://drinkers.jp/cdn/shop/products/2236_4ea37b99-d488-4cf4-8ff4-2ee6f38ab677_800x.jpg?v=1663293388</x:v>
      </x:c>
      <x:c r="N21" s="44" t="str"/>
      <x:c r="O21" s="44" t="str"/>
      <x:c r="P21" s="44" t="str"/>
      <x:c r="Q21" s="44" t="str"/>
      <x:c r="R21" s="44" t="str">
        <x:v>750ml</x:v>
      </x:c>
      <x:c r="S21" s="44" t="str">
        <x:v>https://www.ngf.co.za/brands/hennessy/</x:v>
      </x:c>
    </x:row>
    <x:row r="22" ht="132" customHeight="1">
      <x:c r="A22" s="44" t="str">
        <x:v>Cognac</x:v>
      </x:c>
      <x:c r="B22" s="44" t="str">
        <x:v>France Cognac</x:v>
      </x:c>
      <x:c r="C22" s="44" t="str"/>
      <x:c r="D22" s="44" t="str">
        <x:v>Hine</x:v>
      </x:c>
      <x:c r="E22" s="44" t="str">
        <x:v>Hine Rare Cognac 750ml</x:v>
      </x:c>
      <x:c r="F22" s="44" t="str">
        <x:v>Hine Rare Cognac 750ml is a premium fine champagne cognac from Hine, presented in a 750ml format.
It reflects the balanced, elegant character associated with Fine Champagne Cognac and extended oak maturation.
The aromatic profile opens with apricot, melon, vanilla, creating a rich and inviting first impression.
On the palate, hazelnut, orange, oak add further depth while the texture remains rounded and controlled.
The profile is rounded and expressive, combining ripe fruit with pastry, caramel and softly toasted oak notes.
The finish is smooth and persistent, with warming spice and mature wood adding depth.
The bottle is well suited to premium gifting, refined entertaining and an elevated after-dinner serve.
Serve neat in a tulip-shaped or Cognac glass, or over a single large cube when a slightly softer expression is preferred.
It pairs particularly well with dessert, cheese, poultry, depending on the style of service and occasion.
A strong premium choice for gifting, after-dinner enjoyment, luxury entertaining and customers looking for a distinguished aged spirit.</x:v>
      </x:c>
      <x:c r="G22" s="45" t="n">
        <x:f>Verification!D19*1.15</x:f>
        <x:v>1666.35</x:v>
      </x:c>
      <x:c r="H22" s="44" t="str">
        <x:v>Hine, Cognac, Premium Cognac, France, 750ml, Premium</x:v>
      </x:c>
      <x:c r="I22" s="44" t="str">
        <x:v>Apricot, Melon, Vanilla, Hazelnut, Orange, Oak</x:v>
      </x:c>
      <x:c r="J22" s="44" t="str">
        <x:v>Light &amp; Floral, Fruity &amp; Spicy, Soft</x:v>
      </x:c>
      <x:c r="K22" s="44" t="str">
        <x:v>Dessert, Cheese, Poultry</x:v>
      </x:c>
      <x:c r="L22" s="46" t="b">
        <x:v>0</x:v>
      </x:c>
      <x:c r="M22" s="44" t="str">
        <x:v>https://cdn.shopify.com/s/files/1/0227/0581/products/Hine-Rare-Vsop-Cognac-750ML-BTL_535x.jpg?v=1595169911</x:v>
      </x:c>
      <x:c r="N22" s="44" t="str"/>
      <x:c r="O22" s="44" t="str"/>
      <x:c r="P22" s="44" t="str"/>
      <x:c r="Q22" s="44" t="str"/>
      <x:c r="R22" s="44" t="str">
        <x:v>750ml</x:v>
      </x:c>
      <x:c r="S22" s="44" t="str">
        <x:v>https://www.ngf.co.za/product/hine-rare-cognac-750ml/</x:v>
      </x:c>
    </x:row>
    <x:row r="23" ht="132" customHeight="1">
      <x:c r="A23" s="44" t="str">
        <x:v>Cognac</x:v>
      </x:c>
      <x:c r="B23" s="44" t="str">
        <x:v>France Cognac</x:v>
      </x:c>
      <x:c r="C23" s="44" t="str"/>
      <x:c r="D23" s="44" t="str">
        <x:v>Martell</x:v>
      </x:c>
      <x:c r="E23" s="44" t="str">
        <x:v>Martell XO 750ml</x:v>
      </x:c>
      <x:c r="F23" s="44" t="str">
        <x:v>Martell XO 750ml is a premium xo cognac from Martell, presented in a 750ml format.
It reflects the polished fruit, spice and oak character associated with premium Cognac from France.
The aromatic profile opens with fig, red fruit, blackcurrant, creating a rich and inviting first impression.
On the palate, black pepper, walnut, sandalwood add further depth while the texture remains rounded and controlled.
The mature XO profile brings greater concentration and complexity, with rich fruit, spice and seasoned oak working in harmony.
The finish is long and polished, leaving lingering dried-fruit, spice and oak impressions.
The bottle is well suited to premium gifting, refined entertaining and an elevated after-dinner serve.
Serve neat in a tulip-shaped or Cognac glass, or over a single large cube when a slightly softer expression is preferred.
It pairs particularly well with dessert, cheese, beef &amp; steak, depending on the style of service and occasion.
A strong premium choice for gifting, after-dinner enjoyment, luxury entertaining and customers looking for a distinguished aged spirit.</x:v>
      </x:c>
      <x:c r="G23" s="45" t="n">
        <x:f>Verification!D20*1.15</x:f>
        <x:v>4138.849999999999</x:v>
      </x:c>
      <x:c r="H23" s="44" t="str">
        <x:v>Martell, Cognac, Premium Cognac, France, 750ml, Premium</x:v>
      </x:c>
      <x:c r="I23" s="44" t="str">
        <x:v>Fig, Red Fruit, Blackcurrant, Black Pepper, Walnut, Sandalwood</x:v>
      </x:c>
      <x:c r="J23" s="44" t="str">
        <x:v>Rich &amp; Sherried, Fruity &amp; Spicy, Soft</x:v>
      </x:c>
      <x:c r="K23" s="44" t="str">
        <x:v>Dessert, Cheese, Beef &amp; Steak</x:v>
      </x:c>
      <x:c r="L23" s="46" t="b">
        <x:v>0</x:v>
      </x:c>
      <x:c r="M23" s="44" t="str">
        <x:v>https://i5.samsclubimages.com/asr/baf1cf0d-f9f9-4afc-99d8-1def75f69163.8a42d5df95dabc2ac6f1ff908c58e665.jpeg</x:v>
      </x:c>
      <x:c r="N23" s="44" t="str"/>
      <x:c r="O23" s="44" t="str"/>
      <x:c r="P23" s="44" t="str"/>
      <x:c r="Q23" s="44" t="str"/>
      <x:c r="R23" s="44" t="str">
        <x:v>750ml</x:v>
      </x:c>
      <x:c r="S23" s="44" t="str">
        <x:v>https://www.ngf.co.za/brands/martell/</x:v>
      </x:c>
    </x:row>
    <x:row r="24" ht="132" customHeight="1">
      <x:c r="A24" s="44" t="str">
        <x:v>Cognac</x:v>
      </x:c>
      <x:c r="B24" s="44" t="str">
        <x:v>France Cognac</x:v>
      </x:c>
      <x:c r="C24" s="44" t="str"/>
      <x:c r="D24" s="44" t="str">
        <x:v>Martell</x:v>
      </x:c>
      <x:c r="E24" s="44" t="str">
        <x:v>Martell XXO 1L</x:v>
      </x:c>
      <x:c r="F24" s="44" t="str">
        <x:v>Martell XXO 1L is a premium xxo cognac from Martell, presented in a 1L format.
It reflects the polished fruit, spice and oak character associated with premium Cognac from France.
The aromatic profile opens with honey, vine peach, apricot, creating a rich and inviting first impression.
On the palate, fig, almond, walnut add further depth while the texture remains rounded and controlled.
Its extended maturation creates exceptional depth, combining concentrated fruit, mature oak and layered secondary aromas.
The finish is exceptionally long and refined, with fruit, nuts, spice and seasoned wood unfolding gradually.
The generous 1L format gives the bottle additional presence for luxury gifting, entertaining and premium back-bar display.
Serve neat in a tulip-shaped or Cognac glass, or over a single large cube when a slightly softer expression is preferred.
It pairs particularly well with dessert, cheese, beef &amp; steak, depending on the style of service and occasion.
A strong premium choice for gifting, after-dinner enjoyment, luxury entertaining and customers looking for a distinguished aged spirit.</x:v>
      </x:c>
      <x:c r="G24" s="45" t="n">
        <x:f>Verification!D21*1.15</x:f>
        <x:v>16616.35</x:v>
      </x:c>
      <x:c r="H24" s="44" t="str">
        <x:v>Martell, Cognac, Premium Cognac, France, 1L, Premium</x:v>
      </x:c>
      <x:c r="I24" s="44" t="str">
        <x:v>Honey, Vine Peach, Apricot, Fig, Almond, Walnut</x:v>
      </x:c>
      <x:c r="J24" s="44" t="str">
        <x:v>Rich &amp; Sherried, Fruity &amp; Spicy, Soft</x:v>
      </x:c>
      <x:c r="K24" s="44" t="str">
        <x:v>Dessert, Cheese, Beef &amp; Steak</x:v>
      </x:c>
      <x:c r="L24" s="46" t="b">
        <x:v>0</x:v>
      </x:c>
      <x:c r="M24" s="44" t="str">
        <x:v>https://thedrinksociety.com.au/cdn/shop/products/tds-martell-chanteloup-xxo.jpg?v=1666246675</x:v>
      </x:c>
      <x:c r="N24" s="44" t="str"/>
      <x:c r="O24" s="44" t="str"/>
      <x:c r="P24" s="44" t="str"/>
      <x:c r="Q24" s="44" t="str"/>
      <x:c r="R24" s="44" t="str">
        <x:v>1L</x:v>
      </x:c>
      <x:c r="S24" s="44" t="str">
        <x:v>https://www.ngf.co.za/brands/martell/</x:v>
      </x:c>
    </x:row>
    <x:row r="25" ht="132" customHeight="1">
      <x:c r="A25" s="44" t="str">
        <x:v>Cognac</x:v>
      </x:c>
      <x:c r="B25" s="44" t="str">
        <x:v>France Cognac</x:v>
      </x:c>
      <x:c r="C25" s="44" t="str"/>
      <x:c r="D25" s="44" t="str">
        <x:v>Remy Martin</x:v>
      </x:c>
      <x:c r="E25" s="44" t="str">
        <x:v>Remy Martin 1738 750ml</x:v>
      </x:c>
      <x:c r="F25" s="44" t="str">
        <x:v>Remy Martin 1738 750ml is a premium fine champagne cognac from Remy Martin, presented in a 750ml format.
It reflects the balanced, elegant character associated with Fine Champagne Cognac and extended oak maturation.
The aromatic profile opens with plum, fig, toffee, creating a rich and inviting first impression.
On the palate, toasted bread, vanilla, baking spice add further depth while the texture remains rounded and controlled.
The profile is rounded and expressive, combining ripe fruit with pastry, caramel and softly toasted oak notes.
The finish is smooth and persistent, with warming spice and mature wood adding depth.
The bottle is well suited to premium gifting, refined entertaining and an elevated after-dinner serve.
Serve neat in a tulip-shaped or Cognac glass, or over a single large cube when a slightly softer expression is preferred.
It pairs particularly well with dessert, cheese, beef &amp; steak, depending on the style of service and occasion.
A strong premium choice for gifting, after-dinner enjoyment, luxury entertaining and customers looking for a distinguished aged spirit.</x:v>
      </x:c>
      <x:c r="G25" s="45" t="n">
        <x:f>Verification!D22*1.15</x:f>
        <x:v>1838.85</x:v>
      </x:c>
      <x:c r="H25" s="44" t="str">
        <x:v>Remy Martin, Cognac, Premium Cognac, France, 750ml, Premium</x:v>
      </x:c>
      <x:c r="I25" s="44" t="str">
        <x:v>Plum, Fig, Toffee, Toasted Bread, Vanilla, Baking Spice</x:v>
      </x:c>
      <x:c r="J25" s="44" t="str">
        <x:v>Rich &amp; Sherried, Fruity &amp; Spicy, Soft</x:v>
      </x:c>
      <x:c r="K25" s="44" t="str">
        <x:v>Dessert, Cheese, Beef &amp; Steak</x:v>
      </x:c>
      <x:c r="L25" s="46" t="b">
        <x:v>0</x:v>
      </x:c>
      <x:c r="M25" s="44" t="str">
        <x:v>https://i5.walmartimages.com/seo/Remy-Martin-1738-Accord-Royal-Cognac-750ml-Glass-Bottle-40-ABV_75d8fb78-3073-4800-b67e-19df73585bec.3cb70f066d107f8a044f6dbe2960e2cc.jpeg</x:v>
      </x:c>
      <x:c r="N25" s="44" t="str"/>
      <x:c r="O25" s="44" t="str"/>
      <x:c r="P25" s="44" t="str"/>
      <x:c r="Q25" s="44" t="str"/>
      <x:c r="R25" s="44" t="str">
        <x:v>750ml</x:v>
      </x:c>
      <x:c r="S25" s="44" t="str">
        <x:v>https://www.ngf.co.za/brands/remy-martin/</x:v>
      </x:c>
    </x:row>
    <x:row r="26" ht="132" customHeight="1">
      <x:c r="A26" s="44" t="str">
        <x:v>Cognac</x:v>
      </x:c>
      <x:c r="B26" s="44" t="str">
        <x:v>France Cognac</x:v>
      </x:c>
      <x:c r="C26" s="44" t="str"/>
      <x:c r="D26" s="44" t="str">
        <x:v>Tesseron</x:v>
      </x:c>
      <x:c r="E26" s="44" t="str">
        <x:v>Tesseron Cognac Carafe Legende 750ml</x:v>
      </x:c>
      <x:c r="F26" s="44" t="str">
        <x:v>Tesseron Cognac Carafe Legende 750ml is a premium cognac from Tesseron, presented in a 750ml format.
Produced in France's Cognac region, it reflects the house style through careful selection, maturation and blending of eaux-de-vie.
The aroma is layered and expressive, bringing together ripe fruit, floral accents and mature oak character.
On the palate it develops with a rounded texture, balanced sweetness and warming spice.
Extended cask influence contributes vanilla, toasted wood and dried-fruit complexity without overwhelming the spirit.
The mid-palate remains composed and elegant, with fruit and spice gradually giving way to deeper oak tones.
Its finish is persistent and warming, carrying the core aromatic profile well beyond the final sip.
The presentation is appropriate for premium gifting, celebrations, hospitality service and curated spirits collections.
Serve neat in a tulip-shaped Cognac glass, or allow a few minutes in the glass for the aromas to open.
Dark chocolate, mature cheese and rich desserts are natural pairing options for this style.
A refined choice for customers looking for a recognised Cognac house and a premium after-dinner experience.</x:v>
      </x:c>
      <x:c r="G26" s="45" t="n">
        <x:f>Verification!D23*1.15</x:f>
        <x:v>7572.749999999999</x:v>
      </x:c>
      <x:c r="H26" s="44" t="str">
        <x:v>Tesseron, Cognac, Premium Cognac, France, 750ml, Premium</x:v>
      </x:c>
      <x:c r="I26" s="44" t="str">
        <x:v>Ripe Fruit, Dried Apricot, Vanilla, Oak, Warm Spice, Long Finish</x:v>
      </x:c>
      <x:c r="J26" s="44" t="str">
        <x:v>Fruity &amp; Spicy, Rich &amp; Sherried, Soft</x:v>
      </x:c>
      <x:c r="K26" s="44" t="str">
        <x:v>Dessert, Cheese</x:v>
      </x:c>
      <x:c r="L26" s="46" t="b">
        <x:v>0</x:v>
      </x:c>
      <x:c r="M26" s="44" t="str"/>
      <x:c r="N26" s="44" t="str"/>
      <x:c r="O26" s="44" t="str"/>
      <x:c r="P26" s="44" t="str"/>
      <x:c r="Q26" s="44" t="str"/>
      <x:c r="R26" s="44" t="str">
        <x:v>750ml</x:v>
      </x:c>
      <x:c r="S26" s="44" t="str">
        <x:v>https://www.ngf.co.za/page/465/</x:v>
      </x:c>
    </x:row>
  </x:sheetData>
  <x:mergeCells>
    <x:mergeCell ref="A1:S1"/>
    <x:mergeCell ref="A2:S2"/>
  </x:mergeCells>
  <x:pageMargins left="0.7" right="0.7" top="0.75" bottom="0.75" header="0.3" footer="0.3"/>
  <x:tableParts count="1">
    <x:tablePart xmlns:r="http://schemas.openxmlformats.org/officeDocument/2006/relationships" r:id="Rb824743b74b54982"/>
  </x:tableParts>
</x:worksheet>
</file>

<file path=xl/worksheets/sheet2.xml><?xml version="1.0" encoding="utf-8"?>
<x:worksheet xmlns:x="http://schemas.openxmlformats.org/spreadsheetml/2006/main">
  <x:sheetFormatPr defaultRowHeight="15"/>
  <x:cols>
    <x:col min="1" max="1" width="48" hidden="0" customWidth="1"/>
    <x:col min="2" max="2" width="22" hidden="0" customWidth="1"/>
    <x:col min="3" max="3" width="30" hidden="0" customWidth="1"/>
    <x:col min="4" max="4" width="22" hidden="0" customWidth="1"/>
    <x:col min="5" max="5" width="62" hidden="0" customWidth="1"/>
    <x:col min="6" max="6" width="48" hidden="0" customWidth="1"/>
  </x:cols>
  <x:sheetData>
    <x:row r="1">
      <x:c r="A1" s="31" t="str">
        <x:v>Product Name</x:v>
      </x:c>
      <x:c r="B1" s="31" t="str">
        <x:v>Brand</x:v>
      </x:c>
      <x:c r="C1" s="31" t="str">
        <x:v>Verified NGF Classification</x:v>
      </x:c>
      <x:c r="D1" s="31" t="str">
        <x:v>Current NGF Supplier Price</x:v>
      </x:c>
      <x:c r="E1" s="31" t="str">
        <x:v>Source URL</x:v>
      </x:c>
      <x:c r="F1" s="31" t="str">
        <x:v>Decision</x:v>
      </x:c>
    </x:row>
    <x:row r="2">
      <x:c r="A2" s="56" t="str">
        <x:v>Bisquit &amp; Dubouche VSOP 750ml</x:v>
      </x:c>
      <x:c r="B2" s="56" t="str">
        <x:v>Bisquit</x:v>
      </x:c>
      <x:c r="C2" s="56" t="str">
        <x:v>VSOP</x:v>
      </x:c>
      <x:c r="D2" s="57" t="n">
        <x:v>1029</x:v>
      </x:c>
      <x:c r="E2" s="56" t="str">
        <x:v>https://www.ngf.co.za/product-category/cognac/vsop/</x:v>
      </x:c>
      <x:c r="F2" s="56" t="str">
        <x:v>Included: current NGF displayed price is strictly &gt; R1,000</x:v>
      </x:c>
    </x:row>
    <x:row r="3">
      <x:c r="A3" s="56" t="str">
        <x:v>Bisquit &amp; Dubouche VSOP Exclusive Gift Box &amp; Two Glasses 750ml</x:v>
      </x:c>
      <x:c r="B3" s="56" t="str">
        <x:v>Bisquit</x:v>
      </x:c>
      <x:c r="C3" s="56" t="str">
        <x:v>VSOP</x:v>
      </x:c>
      <x:c r="D3" s="57" t="n">
        <x:v>1029</x:v>
      </x:c>
      <x:c r="E3" s="56" t="str">
        <x:v>https://www.ngf.co.za/product-category/cognac/vsop/</x:v>
      </x:c>
      <x:c r="F3" s="56" t="str">
        <x:v>Included: current NGF displayed price is strictly &gt; R1,000</x:v>
      </x:c>
    </x:row>
    <x:row r="4">
      <x:c r="A4" s="56" t="str">
        <x:v>Henri VSOP 750ml</x:v>
      </x:c>
      <x:c r="B4" s="56" t="str">
        <x:v>Henri</x:v>
      </x:c>
      <x:c r="C4" s="56" t="str">
        <x:v>VSOP</x:v>
      </x:c>
      <x:c r="D4" s="57" t="n">
        <x:v>1025</x:v>
      </x:c>
      <x:c r="E4" s="56" t="str">
        <x:v>https://www.ngf.co.za/product-category/cognac/vsop/</x:v>
      </x:c>
      <x:c r="F4" s="56" t="str">
        <x:v>Included: current NGF displayed price is strictly &gt; R1,000</x:v>
      </x:c>
    </x:row>
    <x:row r="5">
      <x:c r="A5" s="56" t="str">
        <x:v>Honor VSOP Cognac 750ml</x:v>
      </x:c>
      <x:c r="B5" s="56" t="str">
        <x:v>Honor</x:v>
      </x:c>
      <x:c r="C5" s="56" t="str">
        <x:v>VSOP</x:v>
      </x:c>
      <x:c r="D5" s="57" t="n">
        <x:v>1099</x:v>
      </x:c>
      <x:c r="E5" s="56" t="str">
        <x:v>https://www.ngf.co.za/brands/honor/</x:v>
      </x:c>
      <x:c r="F5" s="56" t="str">
        <x:v>Included: current NGF displayed price is strictly &gt; R1,000</x:v>
      </x:c>
    </x:row>
    <x:row r="6">
      <x:c r="A6" s="56" t="str">
        <x:v>Honor VSOP Gold Limited Edition 750ml</x:v>
      </x:c>
      <x:c r="B6" s="56" t="str">
        <x:v>Honor</x:v>
      </x:c>
      <x:c r="C6" s="56" t="str">
        <x:v>VSOP</x:v>
      </x:c>
      <x:c r="D6" s="57" t="n">
        <x:v>1099</x:v>
      </x:c>
      <x:c r="E6" s="56" t="str">
        <x:v>https://www.ngf.co.za/brands/honor/</x:v>
      </x:c>
      <x:c r="F6" s="56" t="str">
        <x:v>Included: current NGF displayed price is strictly &gt; R1,000</x:v>
      </x:c>
    </x:row>
    <x:row r="7">
      <x:c r="A7" s="56" t="str">
        <x:v>Bisquit &amp; Dubouche XO 750ml</x:v>
      </x:c>
      <x:c r="B7" s="56" t="str">
        <x:v>Bisquit</x:v>
      </x:c>
      <x:c r="C7" s="56" t="str">
        <x:v>XO</x:v>
      </x:c>
      <x:c r="D7" s="57" t="n">
        <x:v>3499</x:v>
      </x:c>
      <x:c r="E7" s="56" t="str">
        <x:v>https://www.ngf.co.za/brands/bisquit/</x:v>
      </x:c>
      <x:c r="F7" s="56" t="str">
        <x:v>Included: current NGF displayed price is strictly &gt; R1,000</x:v>
      </x:c>
    </x:row>
    <x:row r="8">
      <x:c r="A8" s="56" t="str">
        <x:v>Courvoisier XO Cognac 750ml</x:v>
      </x:c>
      <x:c r="B8" s="56" t="str">
        <x:v>Courvoisier</x:v>
      </x:c>
      <x:c r="C8" s="56" t="str">
        <x:v>XO</x:v>
      </x:c>
      <x:c r="D8" s="57" t="n">
        <x:v>3199</x:v>
      </x:c>
      <x:c r="E8" s="56" t="str">
        <x:v>https://www.ngf.co.za/product-category/cognac/xo/</x:v>
      </x:c>
      <x:c r="F8" s="56" t="str">
        <x:v>Included: current NGF displayed price is strictly &gt; R1,000</x:v>
      </x:c>
    </x:row>
    <x:row r="9">
      <x:c r="A9" s="56" t="str">
        <x:v>Dusse XO 750ml</x:v>
      </x:c>
      <x:c r="B9" s="56" t="str">
        <x:v>Dusse</x:v>
      </x:c>
      <x:c r="C9" s="56" t="str">
        <x:v>XO</x:v>
      </x:c>
      <x:c r="D9" s="57" t="n">
        <x:v>2799</x:v>
      </x:c>
      <x:c r="E9" s="56" t="str">
        <x:v>https://www.ngf.co.za/brands/dusse/</x:v>
      </x:c>
      <x:c r="F9" s="56" t="str">
        <x:v>Included: current NGF displayed price is strictly &gt; R1,000</x:v>
      </x:c>
    </x:row>
    <x:row r="10">
      <x:c r="A10" s="56" t="str">
        <x:v>Hennessy XO Cognac 750ml</x:v>
      </x:c>
      <x:c r="B10" s="56" t="str">
        <x:v>Hennessy</x:v>
      </x:c>
      <x:c r="C10" s="56" t="str">
        <x:v>XO</x:v>
      </x:c>
      <x:c r="D10" s="57" t="n">
        <x:v>3299</x:v>
      </x:c>
      <x:c r="E10" s="56" t="str">
        <x:v>https://www.ngf.co.za/product-category/cognac/xo/</x:v>
      </x:c>
      <x:c r="F10" s="56" t="str">
        <x:v>Included: current NGF displayed price is strictly &gt; R1,000</x:v>
      </x:c>
    </x:row>
    <x:row r="11">
      <x:c r="A11" s="56" t="str">
        <x:v>Leyrat Cognac XO Elite 750ml</x:v>
      </x:c>
      <x:c r="B11" s="56" t="str">
        <x:v>Leyrat</x:v>
      </x:c>
      <x:c r="C11" s="56" t="str">
        <x:v>XO</x:v>
      </x:c>
      <x:c r="D11" s="57" t="n">
        <x:v>7099</x:v>
      </x:c>
      <x:c r="E11" s="56" t="str">
        <x:v>https://www.ngf.co.za/product-category/cognac/xo/</x:v>
      </x:c>
      <x:c r="F11" s="56" t="str">
        <x:v>Included: current NGF displayed price is strictly &gt; R1,000</x:v>
      </x:c>
    </x:row>
    <x:row r="12">
      <x:c r="A12" s="56" t="str">
        <x:v>Meukow XO Grande Champagne 750ml</x:v>
      </x:c>
      <x:c r="B12" s="56" t="str">
        <x:v>Meukow</x:v>
      </x:c>
      <x:c r="C12" s="56" t="str">
        <x:v>XO</x:v>
      </x:c>
      <x:c r="D12" s="57" t="n">
        <x:v>2499</x:v>
      </x:c>
      <x:c r="E12" s="56" t="str">
        <x:v>https://www.ngf.co.za/product-category/cognac/xo/</x:v>
      </x:c>
      <x:c r="F12" s="56" t="str">
        <x:v>Included: current NGF displayed price is strictly &gt; R1,000</x:v>
      </x:c>
    </x:row>
    <x:row r="13">
      <x:c r="A13" s="56" t="str">
        <x:v>Remy Martin XO 750ml</x:v>
      </x:c>
      <x:c r="B13" s="56" t="str">
        <x:v>Remy Martin</x:v>
      </x:c>
      <x:c r="C13" s="56" t="str">
        <x:v>XO</x:v>
      </x:c>
      <x:c r="D13" s="57" t="n">
        <x:v>3499</x:v>
      </x:c>
      <x:c r="E13" s="56" t="str">
        <x:v>https://www.ngf.co.za/product-category/cognac/xo/</x:v>
      </x:c>
      <x:c r="F13" s="56" t="str">
        <x:v>Included: current NGF displayed price is strictly &gt; R1,000</x:v>
      </x:c>
    </x:row>
    <x:row r="14">
      <x:c r="A14" s="56" t="str">
        <x:v>Remy Martin XO Coffret Limited Edition 750ml</x:v>
      </x:c>
      <x:c r="B14" s="56" t="str">
        <x:v>Remy Martin</x:v>
      </x:c>
      <x:c r="C14" s="56" t="str">
        <x:v>XO</x:v>
      </x:c>
      <x:c r="D14" s="57" t="n">
        <x:v>3499</x:v>
      </x:c>
      <x:c r="E14" s="56" t="str">
        <x:v>https://www.ngf.co.za/product-category/cognac/xo/</x:v>
      </x:c>
      <x:c r="F14" s="56" t="str">
        <x:v>Included: current NGF displayed price is strictly &gt; R1,000</x:v>
      </x:c>
    </x:row>
    <x:row r="15">
      <x:c r="A15" s="56" t="str">
        <x:v>Richelieu Cognac XO 750ml</x:v>
      </x:c>
      <x:c r="B15" s="56" t="str">
        <x:v>Richelieu</x:v>
      </x:c>
      <x:c r="C15" s="56" t="str">
        <x:v>XO</x:v>
      </x:c>
      <x:c r="D15" s="57" t="n">
        <x:v>2499</x:v>
      </x:c>
      <x:c r="E15" s="56" t="str">
        <x:v>https://www.ngf.co.za/product-category/cognac/xo/</x:v>
      </x:c>
      <x:c r="F15" s="56" t="str">
        <x:v>Included: current NGF displayed price is strictly &gt; R1,000</x:v>
      </x:c>
    </x:row>
    <x:row r="16">
      <x:c r="A16" s="56" t="str">
        <x:v>Tesseron Cognac XO Lot 90 750ml</x:v>
      </x:c>
      <x:c r="B16" s="56" t="str">
        <x:v>Tesseron</x:v>
      </x:c>
      <x:c r="C16" s="56" t="str">
        <x:v>XO</x:v>
      </x:c>
      <x:c r="D16" s="57" t="n">
        <x:v>1729</x:v>
      </x:c>
      <x:c r="E16" s="56" t="str">
        <x:v>https://www.ngf.co.za/product-category/cognac/xo/</x:v>
      </x:c>
      <x:c r="F16" s="56" t="str">
        <x:v>Included: current NGF displayed price is strictly &gt; R1,000</x:v>
      </x:c>
    </x:row>
    <x:row r="17">
      <x:c r="A17" s="56" t="str">
        <x:v>Godet Renaissance Grande Champagne Cognac 750ml</x:v>
      </x:c>
      <x:c r="B17" s="56" t="str">
        <x:v>Godet</x:v>
      </x:c>
      <x:c r="C17" s="56" t="str">
        <x:v>COGNAC (no deeper NGF child)</x:v>
      </x:c>
      <x:c r="D17" s="57" t="n">
        <x:v>28999</x:v>
      </x:c>
      <x:c r="E17" s="56" t="str">
        <x:v>https://www.ngf.co.za/brands/godet/</x:v>
      </x:c>
      <x:c r="F17" s="56" t="str">
        <x:v>Included: current NGF displayed price is strictly &gt; R1,000</x:v>
      </x:c>
    </x:row>
    <x:row r="18">
      <x:c r="A18" s="56" t="str">
        <x:v>Hennessy Paradis 750ml</x:v>
      </x:c>
      <x:c r="B18" s="56" t="str">
        <x:v>Hennessy</x:v>
      </x:c>
      <x:c r="C18" s="56" t="str">
        <x:v>COGNAC (no deeper NGF child)</x:v>
      </x:c>
      <x:c r="D18" s="57" t="n">
        <x:v>21999</x:v>
      </x:c>
      <x:c r="E18" s="56" t="str">
        <x:v>https://www.ngf.co.za/brands/hennessy/</x:v>
      </x:c>
      <x:c r="F18" s="56" t="str">
        <x:v>Included: current NGF displayed price is strictly &gt; R1,000</x:v>
      </x:c>
    </x:row>
    <x:row r="19">
      <x:c r="A19" s="56" t="str">
        <x:v>Hine Rare Cognac 750ml</x:v>
      </x:c>
      <x:c r="B19" s="56" t="str">
        <x:v>Hine</x:v>
      </x:c>
      <x:c r="C19" s="56" t="str">
        <x:v>COGNAC (no deeper NGF child)</x:v>
      </x:c>
      <x:c r="D19" s="57" t="n">
        <x:v>1449</x:v>
      </x:c>
      <x:c r="E19" s="56" t="str">
        <x:v>https://www.ngf.co.za/product/hine-rare-cognac-750ml/</x:v>
      </x:c>
      <x:c r="F19" s="56" t="str">
        <x:v>Included: current NGF displayed price is strictly &gt; R1,000</x:v>
      </x:c>
    </x:row>
    <x:row r="20">
      <x:c r="A20" s="56" t="str">
        <x:v>Martell XO 750ml</x:v>
      </x:c>
      <x:c r="B20" s="56" t="str">
        <x:v>Martell</x:v>
      </x:c>
      <x:c r="C20" s="56" t="str">
        <x:v>COGNAC (no deeper NGF child)</x:v>
      </x:c>
      <x:c r="D20" s="57" t="n">
        <x:v>3599</x:v>
      </x:c>
      <x:c r="E20" s="56" t="str">
        <x:v>https://www.ngf.co.za/brands/martell/</x:v>
      </x:c>
      <x:c r="F20" s="56" t="str">
        <x:v>Included: current NGF displayed price is strictly &gt; R1,000</x:v>
      </x:c>
    </x:row>
    <x:row r="21">
      <x:c r="A21" s="56" t="str">
        <x:v>Martell XXO 1L</x:v>
      </x:c>
      <x:c r="B21" s="56" t="str">
        <x:v>Martell</x:v>
      </x:c>
      <x:c r="C21" s="56" t="str">
        <x:v>COGNAC (no deeper NGF child)</x:v>
      </x:c>
      <x:c r="D21" s="57" t="n">
        <x:v>14449</x:v>
      </x:c>
      <x:c r="E21" s="56" t="str">
        <x:v>https://www.ngf.co.za/brands/martell/</x:v>
      </x:c>
      <x:c r="F21" s="56" t="str">
        <x:v>Included: current NGF displayed price is strictly &gt; R1,000</x:v>
      </x:c>
    </x:row>
    <x:row r="22">
      <x:c r="A22" s="56" t="str">
        <x:v>Remy Martin 1738 750ml</x:v>
      </x:c>
      <x:c r="B22" s="56" t="str">
        <x:v>Remy Martin</x:v>
      </x:c>
      <x:c r="C22" s="56" t="str">
        <x:v>COGNAC (no deeper NGF child)</x:v>
      </x:c>
      <x:c r="D22" s="57" t="n">
        <x:v>1599</x:v>
      </x:c>
      <x:c r="E22" s="56" t="str">
        <x:v>https://www.ngf.co.za/brands/remy-martin/</x:v>
      </x:c>
      <x:c r="F22" s="56" t="str">
        <x:v>Included: current NGF displayed price is strictly &gt; R1,000</x:v>
      </x:c>
    </x:row>
    <x:row r="23">
      <x:c r="A23" s="56" t="str">
        <x:v>Tesseron Cognac Carafe Legende 750ml</x:v>
      </x:c>
      <x:c r="B23" s="56" t="str">
        <x:v>Tesseron</x:v>
      </x:c>
      <x:c r="C23" s="56" t="str">
        <x:v>COGNAC (no deeper NGF child)</x:v>
      </x:c>
      <x:c r="D23" s="57" t="n">
        <x:v>6585</x:v>
      </x:c>
      <x:c r="E23" s="56" t="str">
        <x:v>https://www.ngf.co.za/page/465/</x:v>
      </x:c>
      <x:c r="F23" s="56" t="str">
        <x:v>Included: current NGF displayed price is strictly &gt; R1,000</x:v>
      </x:c>
    </x:row>
  </x:sheetData>
  <x:pageMargins left="0.7" right="0.7" top="0.75" bottom="0.75" header="0.3" footer="0.3"/>
  <x:tableParts count="1">
    <x:tablePart xmlns:r="http://schemas.openxmlformats.org/officeDocument/2006/relationships" r:id="Rb6d70cba7a704aeb"/>
  </x:tableParts>
</x:worksheet>
</file>